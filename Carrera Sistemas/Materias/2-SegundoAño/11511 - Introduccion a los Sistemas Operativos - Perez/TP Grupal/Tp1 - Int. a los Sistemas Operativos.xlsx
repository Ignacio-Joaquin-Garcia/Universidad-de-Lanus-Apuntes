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URACIÓN" sheetId="1" r:id="rId4"/>
    <sheet state="visible" name="ALGORITMO 1" sheetId="2" r:id="rId5"/>
    <sheet state="visible" name="ALGORITMO 2" sheetId="3" r:id="rId6"/>
    <sheet state="visible" name="ALGORITMO 3" sheetId="4" r:id="rId7"/>
    <sheet state="visible" name="ALGORITMO 4" sheetId="5" r:id="rId8"/>
    <sheet state="visible" name="ANALISIS" sheetId="6" r:id="rId9"/>
  </sheets>
  <definedNames/>
  <calcPr/>
  <extLst>
    <ext uri="GoogleSheetsCustomDataVersion2">
      <go:sheetsCustomData xmlns:go="http://customooxmlschemas.google.com/" r:id="rId10" roundtripDataChecksum="GNH9oa/mD7AVzYBq5N0PbYQdk27MG+Ryxe0BxbDxKg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ID#AAABq31FcQs
PABLO GONZALO PYTEL    (2025-09-08 10:10:06)
Para poder editar la planilla, se debe crear una COPIA de la misma en su drive o DESCARGAR la planilla en forma local. Dichas opciones están en el menú de "Archivo" / "File", gracias.</t>
      </text>
    </comment>
  </commentList>
  <extLst>
    <ext uri="GoogleSheetsCustomDataVersion2">
      <go:sheetsCustomData xmlns:go="http://customooxmlschemas.google.com/" r:id="rId1" roundtripDataSignature="AMtx7mhysTtVoCFh4kbLr6rokcVNCo8tQQ=="/>
    </ext>
  </extLst>
</comments>
</file>

<file path=xl/sharedStrings.xml><?xml version="1.0" encoding="utf-8"?>
<sst xmlns="http://schemas.openxmlformats.org/spreadsheetml/2006/main" count="1769" uniqueCount="135">
  <si>
    <t>PARA EDITAR</t>
  </si>
  <si>
    <t>Integrantes del Grupo</t>
  </si>
  <si>
    <t>Algortimo 1: SPN (Shortest Process Next)</t>
  </si>
  <si>
    <t>Configuración de Procesos</t>
  </si>
  <si>
    <t>Algortimo 2: Prioridades Apropiativo</t>
  </si>
  <si>
    <t>Algortimo 2: Prioridades - No Apropiativo</t>
  </si>
  <si>
    <t xml:space="preserve">Proceso </t>
  </si>
  <si>
    <t>Curso</t>
  </si>
  <si>
    <t>Comienza en tiempo</t>
  </si>
  <si>
    <t>Duración</t>
  </si>
  <si>
    <t>Apellido y Nombres</t>
  </si>
  <si>
    <t>E-Mail</t>
  </si>
  <si>
    <t>DNI</t>
  </si>
  <si>
    <t>Aux DNI</t>
  </si>
  <si>
    <t>Prioridad</t>
  </si>
  <si>
    <t>Proceso</t>
  </si>
  <si>
    <t>Tiempo</t>
  </si>
  <si>
    <t>CPU</t>
  </si>
  <si>
    <t>E/S</t>
  </si>
  <si>
    <t>Total CPU</t>
  </si>
  <si>
    <t>Garcia Ignacio Joaquin</t>
  </si>
  <si>
    <t>garciaignaciouni@gmail.com</t>
  </si>
  <si>
    <t>P1</t>
  </si>
  <si>
    <t>Ciro Brandan</t>
  </si>
  <si>
    <t>cirobrandan06@gmail.com</t>
  </si>
  <si>
    <t>P2</t>
  </si>
  <si>
    <t>E</t>
  </si>
  <si>
    <t>Moras Marcos Ezequiel</t>
  </si>
  <si>
    <t>marcosmoras19@gmail.com</t>
  </si>
  <si>
    <t>B</t>
  </si>
  <si>
    <t>P3</t>
  </si>
  <si>
    <t>C</t>
  </si>
  <si>
    <t>T</t>
  </si>
  <si>
    <t>Ramas Thiago</t>
  </si>
  <si>
    <t>tramascai@gmail.com</t>
  </si>
  <si>
    <t>P4</t>
  </si>
  <si>
    <t>Santino Lionel Dotto</t>
  </si>
  <si>
    <t>santolio264@gmail.com</t>
  </si>
  <si>
    <t>P5</t>
  </si>
  <si>
    <t>Terminado</t>
  </si>
  <si>
    <t>P6</t>
  </si>
  <si>
    <t>En caso de que haya algun tipo de empate de prioridades se decidira por quien haya llegado primero a la 
cola, y si llegaron en el mismo instante se eligira por menor tiempo total de CPU.</t>
  </si>
  <si>
    <t>Ejecutando:</t>
  </si>
  <si>
    <t>Cola 
de Listos</t>
  </si>
  <si>
    <t>Nota: en caso de haber igualdad de prioridades, se toma por la lista de procesos (ej: p1 primero, p2 segundo, etc.)</t>
  </si>
  <si>
    <t xml:space="preserve">En caso de haber salido del proceso de ejecucion y bloqueo, y si tiene el mismo nivel de prioridad que </t>
  </si>
  <si>
    <t>los demas, se irá al fin de la cola de listos</t>
  </si>
  <si>
    <t xml:space="preserve">En caso de que el tiempo de menor ejecución sea igual se elige el de mayor prioridad. Si </t>
  </si>
  <si>
    <t>estas 2 se repiten se elige aleatoriamente (indeterminado)</t>
  </si>
  <si>
    <t>Nomenclatura:</t>
  </si>
  <si>
    <t>Ejecutando</t>
  </si>
  <si>
    <t>Bloqueado</t>
  </si>
  <si>
    <t>En Cola</t>
  </si>
  <si>
    <t>p5</t>
  </si>
  <si>
    <t>Ejecutando Apropiado</t>
  </si>
  <si>
    <t xml:space="preserve"> Algoritmo 2: SRT</t>
  </si>
  <si>
    <t>C 10</t>
  </si>
  <si>
    <t>E 10</t>
  </si>
  <si>
    <t>E 9</t>
  </si>
  <si>
    <t>E 8</t>
  </si>
  <si>
    <t>C 7</t>
  </si>
  <si>
    <t>E 7</t>
  </si>
  <si>
    <t>E 6</t>
  </si>
  <si>
    <t>B 5</t>
  </si>
  <si>
    <t>E 5</t>
  </si>
  <si>
    <t>E 3</t>
  </si>
  <si>
    <t>E 2</t>
  </si>
  <si>
    <t>E 1</t>
  </si>
  <si>
    <t>–</t>
  </si>
  <si>
    <t>E 4</t>
  </si>
  <si>
    <t>B 2</t>
  </si>
  <si>
    <t>C 2</t>
  </si>
  <si>
    <t>C 9</t>
  </si>
  <si>
    <t>B 4</t>
  </si>
  <si>
    <t>C 5</t>
  </si>
  <si>
    <t>B 1</t>
  </si>
  <si>
    <t>C 3</t>
  </si>
  <si>
    <t>C 1</t>
  </si>
  <si>
    <t>P4 8</t>
  </si>
  <si>
    <t>P4 7</t>
  </si>
  <si>
    <t>P4 6</t>
  </si>
  <si>
    <t>P2 7</t>
  </si>
  <si>
    <t>P2 6</t>
  </si>
  <si>
    <t>P2 5</t>
  </si>
  <si>
    <t>P2 4</t>
  </si>
  <si>
    <t>P2 3</t>
  </si>
  <si>
    <t>P5 5</t>
  </si>
  <si>
    <t>P5 4</t>
  </si>
  <si>
    <t>P5 3</t>
  </si>
  <si>
    <t>P5 2</t>
  </si>
  <si>
    <t>P2 2</t>
  </si>
  <si>
    <t>P2 1</t>
  </si>
  <si>
    <t>P6 5</t>
  </si>
  <si>
    <t>P6 4</t>
  </si>
  <si>
    <t>P5 1</t>
  </si>
  <si>
    <t>P6 3</t>
  </si>
  <si>
    <t>P6 2</t>
  </si>
  <si>
    <t>P4 5</t>
  </si>
  <si>
    <t>P4 4</t>
  </si>
  <si>
    <t>P4 3</t>
  </si>
  <si>
    <t>P4 2</t>
  </si>
  <si>
    <t>P4 1</t>
  </si>
  <si>
    <t>P6 1</t>
  </si>
  <si>
    <t>P3 9</t>
  </si>
  <si>
    <t>P3 8</t>
  </si>
  <si>
    <t>P3 7</t>
  </si>
  <si>
    <t>P3 6</t>
  </si>
  <si>
    <t>P3 5</t>
  </si>
  <si>
    <t>P1 10</t>
  </si>
  <si>
    <t>P1 9</t>
  </si>
  <si>
    <t>P1 8</t>
  </si>
  <si>
    <t>P3 4</t>
  </si>
  <si>
    <t>P3 3</t>
  </si>
  <si>
    <t>P3 2</t>
  </si>
  <si>
    <t>P3 1</t>
  </si>
  <si>
    <t>P1 7</t>
  </si>
  <si>
    <t>P1 6</t>
  </si>
  <si>
    <t>Inactivo</t>
  </si>
  <si>
    <t>P1 5</t>
  </si>
  <si>
    <t>P1 4</t>
  </si>
  <si>
    <t>P1 3</t>
  </si>
  <si>
    <t>P1 2</t>
  </si>
  <si>
    <t>P1 1</t>
  </si>
  <si>
    <t>P1 (10)</t>
  </si>
  <si>
    <t>P2 (7)</t>
  </si>
  <si>
    <t>P5 (5)</t>
  </si>
  <si>
    <t>P6 (5)</t>
  </si>
  <si>
    <t>P2 (2)</t>
  </si>
  <si>
    <t>P4 (5)</t>
  </si>
  <si>
    <t>P6 (3)</t>
  </si>
  <si>
    <t>P3 (9)</t>
  </si>
  <si>
    <t>P6 (1)</t>
  </si>
  <si>
    <t>P1 (7)</t>
  </si>
  <si>
    <t>Análisis de los Resultados</t>
  </si>
  <si>
    <t xml:space="preserve">SPN (Shortest Process Next) 
VENTAJAS: Favorece a los procesos con rafagas de CPU breves (Ejemplo: P4) ,y al volver de un bloqueo con rafagas chicas obtiene la CPU lo mas rapido posible para poder terminar
(Ejemplo: P5).
DESVENTAJAS: Los procesos con rafagas largas quedan postergados indefinidamente si hay otros procesos de rafagas mas cortas (Ejemplo: P1).
PRIORIDADES - No Apropiativo
VENTAJAS: Los procesos mas importantes(mayor prioridad) acceden antes a la CPU y finalizan antes (Ejemplos: P1 y P5).
DESVENTAJAS: Los procesos de prioridades bajas estan mucho tiempo en la cola de listos sin ejecutarse ,y si un proceso de baja prioridad toma la CPU, el de mayor prioridad
debe esperar (Ejemplo: P6).
PRIORIDADES - Apropiativo
VENTAJAS: Si llega o se desbloquea un proceso de mayor prioridad desaloja al que esta usando la CPU y se la cede (Ejemplo: P5), los procesos de mayor prioridad finalizan 
lo antes posible (Ejemplos: P1 y P5).
DESVENTAJAS: Los procesos de prioridad baja quedan congelados mientras exita alguno de mayor prioridad (Ejemplo: P4) ,y los de prioridad menor pueden ser interrumpidos 
en cualquier momento, quedando por la mitad de una rafaga.
SRT (Shortest Remaining Time)
VENTAJAS: Los procesos que menor tiempo le queda finalizan mas rapido (Ejemplos: P2,P5,P3,P6) ,y un proceso largo que este corriendo permite/deja ejecutar a los procesos
que le queda menor tiempo.
DESVENTAJAS: Los procesos con una carga total pesada esperan mucho tiempo en la cola de listos (Ejemplo: P1).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</si>
</sst>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rgb="FF000000"/>
      <name val="Arial"/>
    </font>
    <font>
      <sz val="8.0"/>
      <color rgb="FFFF0000"/>
      <name val="Arial"/>
    </font>
    <font>
      <b/>
      <sz val="11.0"/>
      <color theme="1"/>
      <name val="Arial"/>
    </font>
    <font/>
    <font>
      <b/>
      <sz val="11.0"/>
      <color rgb="FFFFFFFF"/>
      <name val="Calibri"/>
    </font>
    <font>
      <b/>
      <sz val="11.0"/>
      <color theme="1"/>
      <name val="Calibri"/>
    </font>
    <font>
      <sz val="11.0"/>
      <color rgb="FFFFFFFF"/>
      <name val="Calibri"/>
    </font>
    <font>
      <sz val="11.0"/>
      <color rgb="FF000000"/>
      <name val="Calibri"/>
    </font>
    <font>
      <sz val="11.0"/>
      <color rgb="FF1155CC"/>
      <name val="Calibri"/>
    </font>
    <font>
      <sz val="11.0"/>
      <color theme="1"/>
      <name val="Calibri"/>
    </font>
    <font>
      <u/>
      <sz val="11.0"/>
      <color rgb="FF1155CC"/>
      <name val="Calibri"/>
    </font>
    <font>
      <b/>
      <sz val="11.0"/>
      <color rgb="FF000000"/>
      <name val="Overlock"/>
    </font>
    <font>
      <b/>
      <sz val="11.0"/>
      <color theme="1"/>
      <name val="Overlock"/>
    </font>
    <font>
      <u/>
      <sz val="11.0"/>
      <color theme="10"/>
      <name val="Calibri"/>
    </font>
    <font>
      <sz val="11.0"/>
      <color theme="1"/>
      <name val="Overlock"/>
    </font>
    <font>
      <sz val="11.0"/>
      <color theme="1"/>
      <name val="Arial"/>
    </font>
    <font>
      <b/>
      <sz val="11.0"/>
      <color rgb="FF000000"/>
      <name val="Arial"/>
    </font>
    <font>
      <sz val="8.0"/>
      <color rgb="FF1F1F1F"/>
      <name val="Arial"/>
    </font>
    <font>
      <b/>
      <sz val="8.0"/>
      <color rgb="FF843C0C"/>
      <name val="Arial"/>
    </font>
    <font>
      <sz val="8.0"/>
      <color rgb="FF404040"/>
      <name val="Arial"/>
    </font>
    <font>
      <sz val="8.0"/>
      <color rgb="FF000000"/>
      <name val="Arial"/>
    </font>
  </fonts>
  <fills count="26">
    <fill>
      <patternFill patternType="none"/>
    </fill>
    <fill>
      <patternFill patternType="lightGray"/>
    </fill>
    <fill>
      <patternFill patternType="solid">
        <fgColor rgb="FFCCCCCC"/>
        <bgColor rgb="FFCCCCCC"/>
      </patternFill>
    </fill>
    <fill>
      <patternFill patternType="solid">
        <fgColor rgb="FF002060"/>
        <bgColor rgb="FF002060"/>
      </patternFill>
    </fill>
    <fill>
      <patternFill patternType="solid">
        <fgColor rgb="FF0C0C0C"/>
        <bgColor rgb="FF0C0C0C"/>
      </patternFill>
    </fill>
    <fill>
      <patternFill patternType="solid">
        <fgColor theme="6"/>
        <bgColor theme="6"/>
      </patternFill>
    </fill>
    <fill>
      <patternFill patternType="solid">
        <fgColor rgb="FF525252"/>
        <bgColor rgb="FF525252"/>
      </patternFill>
    </fill>
    <fill>
      <patternFill patternType="solid">
        <fgColor rgb="FF7B7B7B"/>
        <bgColor rgb="FF7B7B7B"/>
      </patternFill>
    </fill>
    <fill>
      <patternFill patternType="solid">
        <fgColor rgb="FFDEEAF6"/>
        <bgColor rgb="FFDEEAF6"/>
      </patternFill>
    </fill>
    <fill>
      <patternFill patternType="solid">
        <fgColor rgb="FF9FC5E8"/>
        <bgColor rgb="FF9FC5E8"/>
      </patternFill>
    </fill>
    <fill>
      <patternFill patternType="solid">
        <fgColor rgb="FFBDD6EE"/>
        <bgColor rgb="FFBDD6EE"/>
      </patternFill>
    </fill>
    <fill>
      <patternFill patternType="solid">
        <fgColor rgb="FF70AD47"/>
        <bgColor rgb="FF70AD47"/>
      </patternFill>
    </fill>
    <fill>
      <patternFill patternType="solid">
        <fgColor rgb="FFFFC000"/>
        <bgColor rgb="FFFFC000"/>
      </patternFill>
    </fill>
    <fill>
      <patternFill patternType="solid">
        <fgColor rgb="FFE2EFD9"/>
        <bgColor rgb="FFE2EFD9"/>
      </patternFill>
    </fill>
    <fill>
      <patternFill patternType="solid">
        <fgColor rgb="FFFFFFFF"/>
        <bgColor rgb="FFFFFFFF"/>
      </patternFill>
    </fill>
    <fill>
      <patternFill patternType="solid">
        <fgColor rgb="FF6FA8DC"/>
        <bgColor rgb="FF6FA8DC"/>
      </patternFill>
    </fill>
    <fill>
      <patternFill patternType="solid">
        <fgColor rgb="FFA61C00"/>
        <bgColor rgb="FFA61C00"/>
      </patternFill>
    </fill>
    <fill>
      <patternFill patternType="solid">
        <fgColor rgb="FFEA9999"/>
        <bgColor rgb="FFEA9999"/>
      </patternFill>
    </fill>
    <fill>
      <patternFill patternType="solid">
        <fgColor rgb="FFC55A11"/>
        <bgColor rgb="FFC55A11"/>
      </patternFill>
    </fill>
    <fill>
      <patternFill patternType="solid">
        <fgColor rgb="FFFBE4D5"/>
        <bgColor rgb="FFFBE4D5"/>
      </patternFill>
    </fill>
    <fill>
      <patternFill patternType="solid">
        <fgColor rgb="FFE2F0D9"/>
        <bgColor rgb="FFE2F0D9"/>
      </patternFill>
    </fill>
    <fill>
      <patternFill patternType="solid">
        <fgColor rgb="FFFFD966"/>
        <bgColor rgb="FFFFD966"/>
      </patternFill>
    </fill>
    <fill>
      <patternFill patternType="solid">
        <fgColor rgb="FFD9D9D9"/>
        <bgColor rgb="FFD9D9D9"/>
      </patternFill>
    </fill>
    <fill>
      <patternFill patternType="solid">
        <fgColor rgb="FFFCE4D6"/>
        <bgColor rgb="FFFCE4D6"/>
      </patternFill>
    </fill>
    <fill>
      <patternFill patternType="solid">
        <fgColor rgb="FFFFF2E6"/>
        <bgColor rgb="FFFFF2E6"/>
      </patternFill>
    </fill>
    <fill>
      <patternFill patternType="solid">
        <fgColor rgb="FFF3F3F3"/>
        <bgColor rgb="FFF3F3F3"/>
      </patternFill>
    </fill>
  </fills>
  <borders count="56">
    <border/>
    <border>
      <left/>
      <top/>
      <bottom/>
    </border>
    <border>
      <top/>
      <bottom/>
    </border>
    <border>
      <left/>
      <right/>
      <top/>
      <bottom/>
    </border>
    <border>
      <left style="thin">
        <color rgb="FF000000"/>
      </left>
      <right style="thin">
        <color rgb="FF000000"/>
      </right>
      <top style="thin">
        <color rgb="FF000000"/>
      </top>
    </border>
    <border>
      <left/>
      <right style="thin">
        <color rgb="FF000000"/>
      </right>
      <top style="thin">
        <color rgb="FF000000"/>
      </top>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rder>
    <border>
      <left style="thin">
        <color rgb="FF000000"/>
      </left>
      <right style="thin">
        <color rgb="FF000000"/>
      </right>
      <bottom style="thin">
        <color rgb="FF000000"/>
      </bottom>
    </border>
    <border>
      <left/>
      <right style="thin">
        <color rgb="FF000000"/>
      </right>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border>
    <border>
      <left/>
      <right style="thin">
        <color rgb="FF000000"/>
      </right>
      <top style="medium">
        <color rgb="FF000000"/>
      </top>
      <bottom/>
    </border>
    <border>
      <left style="thin">
        <color rgb="FF000000"/>
      </left>
      <right style="thin">
        <color rgb="FF000000"/>
      </right>
      <top/>
      <bottom style="thin">
        <color rgb="FF000000"/>
      </bottom>
    </border>
    <border>
      <left/>
      <right style="medium">
        <color rgb="FF000000"/>
      </right>
      <top style="medium">
        <color rgb="FF000000"/>
      </top>
      <bottom/>
    </border>
    <border>
      <left style="medium">
        <color rgb="FF000000"/>
      </left>
      <right style="thin">
        <color rgb="FF000000"/>
      </right>
      <top style="medium">
        <color rgb="FF000000"/>
      </top>
      <bottom style="thin">
        <color rgb="FF000000"/>
      </bottom>
    </border>
    <border>
      <left/>
      <right style="thin">
        <color rgb="FF000000"/>
      </right>
      <top style="thin">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style="thin">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right style="medium">
        <color rgb="FF000000"/>
      </right>
      <top style="thin">
        <color rgb="FF000000"/>
      </top>
      <bottom style="medium">
        <color rgb="FF000000"/>
      </bottom>
    </border>
    <border>
      <left/>
      <right style="medium">
        <color rgb="FF000000"/>
      </right>
      <top style="medium">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top style="medium">
        <color rgb="FF000000"/>
      </top>
      <bottom style="medium">
        <color rgb="FF000000"/>
      </bottom>
    </border>
    <border>
      <left/>
      <right style="thin">
        <color rgb="FF000000"/>
      </right>
      <top/>
      <bottom/>
    </border>
    <border>
      <left/>
      <right style="medium">
        <color rgb="FF000000"/>
      </right>
      <top/>
      <bottom/>
    </border>
    <border>
      <left/>
      <right style="thin">
        <color rgb="FF000000"/>
      </right>
      <top/>
    </border>
    <border>
      <right style="thin">
        <color rgb="FF000000"/>
      </right>
      <top/>
      <bottom/>
    </border>
    <border>
      <left style="thin">
        <color rgb="FF000000"/>
      </left>
    </border>
    <border>
      <left style="medium">
        <color rgb="FF000000"/>
      </left>
      <right style="medium">
        <color rgb="FF000000"/>
      </right>
      <bottom style="medium">
        <color rgb="FF000000"/>
      </bottom>
    </border>
    <border>
      <right style="thin">
        <color rgb="FF000000"/>
      </right>
      <top/>
      <bottom style="medium">
        <color rgb="FF000000"/>
      </bottom>
    </border>
    <border>
      <left/>
      <right style="thin">
        <color rgb="FF000000"/>
      </right>
      <top/>
      <bottom style="medium">
        <color rgb="FF000000"/>
      </bottom>
    </border>
    <border>
      <left/>
      <right style="medium">
        <color rgb="FF000000"/>
      </right>
      <top/>
      <bottom style="thin">
        <color rgb="FF000000"/>
      </bottom>
    </border>
    <border>
      <left/>
      <right style="medium">
        <color rgb="FF000000"/>
      </right>
      <top/>
      <bottom style="medium">
        <color rgb="FF000000"/>
      </bottom>
    </border>
    <border>
      <bottom style="thin">
        <color rgb="FF000000"/>
      </bottom>
    </border>
    <border>
      <left style="thin">
        <color rgb="FF000000"/>
      </left>
      <top/>
      <bottom style="thin">
        <color rgb="FF000000"/>
      </bottom>
    </border>
    <border>
      <right style="thin">
        <color rgb="FF000000"/>
      </right>
      <top/>
      <bottom style="thin">
        <color rgb="FF000000"/>
      </bottom>
    </border>
    <border>
      <left/>
      <right style="thick">
        <color rgb="FFFF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E6B8AF"/>
      </left>
      <right style="thin">
        <color rgb="FFE6B8AF"/>
      </right>
      <top style="thin">
        <color rgb="FFE6B8AF"/>
      </top>
      <bottom style="thin">
        <color rgb="FFE6B8AF"/>
      </bottom>
    </border>
    <border>
      <left style="thin">
        <color rgb="FFA6A6A6"/>
      </left>
      <right style="thin">
        <color rgb="FFA6A6A6"/>
      </right>
      <top style="thin">
        <color rgb="FFA6A6A6"/>
      </top>
      <bottom style="thin">
        <color rgb="FFA6A6A6"/>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2" numFmtId="0" xfId="0" applyFont="1"/>
    <xf borderId="1" fillId="2" fontId="3" numFmtId="0" xfId="0" applyAlignment="1" applyBorder="1" applyFill="1" applyFont="1">
      <alignment horizontal="center"/>
    </xf>
    <xf borderId="2" fillId="0" fontId="4" numFmtId="0" xfId="0" applyBorder="1" applyFont="1"/>
    <xf borderId="1" fillId="2" fontId="3" numFmtId="0" xfId="0" applyAlignment="1" applyBorder="1" applyFill="1" applyFont="1">
      <alignment horizontal="center" readingOrder="0"/>
    </xf>
    <xf borderId="3" fillId="2" fontId="3" numFmtId="0" xfId="0" applyBorder="1" applyFill="1" applyFont="1"/>
    <xf borderId="4" fillId="3" fontId="5" numFmtId="0" xfId="0" applyAlignment="1" applyBorder="1" applyFill="1" applyFont="1">
      <alignment horizontal="center" vertical="center"/>
    </xf>
    <xf borderId="5" fillId="3" fontId="5" numFmtId="0" xfId="0" applyAlignment="1" applyBorder="1" applyFill="1" applyFont="1">
      <alignment horizontal="center" shrinkToFit="0" vertical="center" wrapText="1"/>
    </xf>
    <xf borderId="4" fillId="4" fontId="5" numFmtId="0" xfId="0" applyAlignment="1" applyBorder="1" applyFill="1" applyFont="1">
      <alignment horizontal="center" vertical="center"/>
    </xf>
    <xf borderId="6" fillId="3" fontId="5" numFmtId="0" xfId="0" applyAlignment="1" applyBorder="1" applyFill="1" applyFont="1">
      <alignment horizontal="center" vertical="center"/>
    </xf>
    <xf borderId="7" fillId="0" fontId="4" numFmtId="0" xfId="0" applyBorder="1" applyFont="1"/>
    <xf borderId="4" fillId="5" fontId="6" numFmtId="0" xfId="0" applyAlignment="1" applyBorder="1" applyFill="1" applyFont="1">
      <alignment horizontal="center" vertical="center"/>
    </xf>
    <xf borderId="8" fillId="0" fontId="4" numFmtId="0" xfId="0" applyBorder="1" applyFont="1"/>
    <xf borderId="5" fillId="3" fontId="5" numFmtId="0" xfId="0" applyAlignment="1" applyBorder="1" applyFill="1" applyFont="1">
      <alignment horizontal="center" vertical="center"/>
    </xf>
    <xf borderId="9" fillId="3" fontId="5" numFmtId="0" xfId="0" applyAlignment="1" applyBorder="1" applyFill="1" applyFont="1">
      <alignment horizontal="center" vertical="center"/>
    </xf>
    <xf borderId="1" fillId="6" fontId="7" numFmtId="0" xfId="0" applyAlignment="1" applyBorder="1" applyFill="1" applyFont="1">
      <alignment horizontal="center"/>
    </xf>
    <xf borderId="10" fillId="0" fontId="4" numFmtId="0" xfId="0" applyBorder="1" applyFont="1"/>
    <xf borderId="11" fillId="0" fontId="4" numFmtId="0" xfId="0" applyBorder="1" applyFont="1"/>
    <xf borderId="12" fillId="3" fontId="5" numFmtId="0" xfId="0" applyAlignment="1" applyBorder="1" applyFill="1" applyFont="1">
      <alignment horizontal="center" vertical="center"/>
    </xf>
    <xf borderId="12" fillId="3" fontId="5" numFmtId="0" xfId="0" applyAlignment="1" applyBorder="1" applyFill="1" applyFont="1">
      <alignment horizontal="center"/>
    </xf>
    <xf borderId="13" fillId="0" fontId="8" numFmtId="0" xfId="0" applyAlignment="1" applyBorder="1" applyFont="1">
      <alignment shrinkToFit="0" vertical="center" wrapText="1"/>
    </xf>
    <xf borderId="14" fillId="0" fontId="4" numFmtId="0" xfId="0" applyBorder="1" applyFont="1"/>
    <xf borderId="13" fillId="0" fontId="8" numFmtId="0" xfId="0" applyAlignment="1" applyBorder="1" applyFont="1">
      <alignment readingOrder="0" shrinkToFit="0" vertical="center" wrapText="1"/>
    </xf>
    <xf borderId="15" fillId="7" fontId="7" numFmtId="0" xfId="0" applyAlignment="1" applyBorder="1" applyFill="1" applyFont="1">
      <alignment horizontal="center" shrinkToFit="0" wrapText="1"/>
    </xf>
    <xf borderId="13" fillId="0" fontId="9" numFmtId="0" xfId="0" applyAlignment="1" applyBorder="1" applyFont="1">
      <alignment horizontal="center" readingOrder="0" shrinkToFit="0" vertical="center" wrapText="1"/>
    </xf>
    <xf borderId="13" fillId="0" fontId="8" numFmtId="3" xfId="0" applyAlignment="1" applyBorder="1" applyFont="1" applyNumberFormat="1">
      <alignment horizontal="center" readingOrder="0" shrinkToFit="0" vertical="center" wrapText="1"/>
    </xf>
    <xf borderId="0" fillId="0" fontId="8" numFmtId="0" xfId="0" applyAlignment="1" applyFont="1">
      <alignment horizontal="center" shrinkToFit="0" vertical="center" wrapText="1"/>
    </xf>
    <xf borderId="16" fillId="8" fontId="6" numFmtId="0" xfId="0" applyAlignment="1" applyBorder="1" applyFill="1" applyFont="1">
      <alignment horizontal="center"/>
    </xf>
    <xf borderId="12" fillId="8" fontId="10" numFmtId="0" xfId="0" applyAlignment="1" applyBorder="1" applyFill="1" applyFont="1">
      <alignment horizontal="center"/>
    </xf>
    <xf borderId="17" fillId="7" fontId="7" numFmtId="0" xfId="0" applyAlignment="1" applyBorder="1" applyFill="1" applyFont="1">
      <alignment horizontal="center" shrinkToFit="0" wrapText="1"/>
    </xf>
    <xf borderId="13" fillId="0" fontId="11" numFmtId="0" xfId="0" applyAlignment="1" applyBorder="1" applyFont="1">
      <alignment horizontal="center" readingOrder="0" shrinkToFit="0" vertical="center" wrapText="1"/>
    </xf>
    <xf borderId="12" fillId="9" fontId="10" numFmtId="0" xfId="0" applyAlignment="1" applyBorder="1" applyFill="1" applyFont="1">
      <alignment horizontal="center"/>
    </xf>
    <xf borderId="16" fillId="10" fontId="6" numFmtId="0" xfId="0" applyAlignment="1" applyBorder="1" applyFill="1" applyFont="1">
      <alignment horizontal="center"/>
    </xf>
    <xf borderId="12" fillId="10" fontId="10" numFmtId="0" xfId="0" applyAlignment="1" applyBorder="1" applyFill="1" applyFont="1">
      <alignment horizontal="center"/>
    </xf>
    <xf borderId="18" fillId="8" fontId="6" numFmtId="0" xfId="0" applyAlignment="1" applyBorder="1" applyFill="1" applyFont="1">
      <alignment horizontal="center"/>
    </xf>
    <xf borderId="19" fillId="11" fontId="12" numFmtId="0" xfId="0" applyAlignment="1" applyBorder="1" applyFill="1" applyFont="1">
      <alignment horizontal="center"/>
    </xf>
    <xf borderId="12" fillId="12" fontId="12" numFmtId="0" xfId="0" applyAlignment="1" applyBorder="1" applyFill="1" applyFont="1">
      <alignment horizontal="center"/>
    </xf>
    <xf borderId="12" fillId="13" fontId="12" numFmtId="0" xfId="0" applyAlignment="1" applyBorder="1" applyFill="1" applyFont="1">
      <alignment horizontal="center"/>
    </xf>
    <xf borderId="12" fillId="14" fontId="12" numFmtId="0" xfId="0" applyAlignment="1" applyBorder="1" applyFill="1" applyFont="1">
      <alignment horizontal="center"/>
    </xf>
    <xf borderId="20" fillId="11" fontId="13" numFmtId="0" xfId="0" applyAlignment="1" applyBorder="1" applyFill="1" applyFont="1">
      <alignment horizontal="center" readingOrder="0"/>
    </xf>
    <xf borderId="21" fillId="0" fontId="4" numFmtId="0" xfId="0" applyBorder="1" applyFont="1"/>
    <xf borderId="22" fillId="0" fontId="4" numFmtId="0" xfId="0" applyBorder="1" applyFont="1"/>
    <xf borderId="20" fillId="12" fontId="13" numFmtId="0" xfId="0" applyAlignment="1" applyBorder="1" applyFill="1" applyFont="1">
      <alignment horizontal="center" readingOrder="0"/>
    </xf>
    <xf borderId="23" fillId="13" fontId="13" numFmtId="0" xfId="0" applyAlignment="1" applyBorder="1" applyFill="1" applyFont="1">
      <alignment horizontal="center" readingOrder="0"/>
    </xf>
    <xf borderId="13" fillId="0" fontId="14" numFmtId="0" xfId="0" applyAlignment="1" applyBorder="1" applyFont="1">
      <alignment horizontal="center" shrinkToFit="0" vertical="center" wrapText="1"/>
    </xf>
    <xf borderId="13" fillId="0" fontId="8" numFmtId="3" xfId="0" applyAlignment="1" applyBorder="1" applyFont="1" applyNumberFormat="1">
      <alignment horizontal="center" shrinkToFit="0" vertical="center" wrapText="1"/>
    </xf>
    <xf borderId="20" fillId="0" fontId="15" numFmtId="0" xfId="0" applyAlignment="1" applyBorder="1" applyFont="1">
      <alignment readingOrder="0"/>
    </xf>
    <xf borderId="12" fillId="15" fontId="10" numFmtId="0" xfId="0" applyAlignment="1" applyBorder="1" applyFill="1" applyFont="1">
      <alignment horizontal="center"/>
    </xf>
    <xf borderId="24" fillId="0" fontId="4" numFmtId="0" xfId="0" applyBorder="1" applyFont="1"/>
    <xf borderId="25" fillId="10" fontId="6" numFmtId="0" xfId="0" applyAlignment="1" applyBorder="1" applyFill="1" applyFont="1">
      <alignment horizontal="center"/>
    </xf>
    <xf borderId="13" fillId="0" fontId="16" numFmtId="0" xfId="0" applyBorder="1" applyFont="1"/>
    <xf borderId="13" fillId="0" fontId="13" numFmtId="0" xfId="0" applyBorder="1" applyFont="1"/>
    <xf borderId="13" fillId="13" fontId="13" numFmtId="0" xfId="0" applyAlignment="1" applyBorder="1" applyFill="1" applyFont="1">
      <alignment horizontal="center" readingOrder="0"/>
    </xf>
    <xf borderId="26" fillId="11" fontId="13" numFmtId="0" xfId="0" applyAlignment="1" applyBorder="1" applyFill="1" applyFont="1">
      <alignment horizontal="center" readingOrder="0"/>
    </xf>
    <xf borderId="25" fillId="8" fontId="6" numFmtId="0" xfId="0" applyAlignment="1" applyBorder="1" applyFill="1" applyFont="1">
      <alignment horizontal="center"/>
    </xf>
    <xf borderId="26" fillId="12" fontId="13" numFmtId="0" xfId="0" applyAlignment="1" applyBorder="1" applyFill="1" applyFont="1">
      <alignment horizontal="center" readingOrder="0"/>
    </xf>
    <xf borderId="26" fillId="0" fontId="15" numFmtId="0" xfId="0" applyAlignment="1" applyBorder="1" applyFont="1">
      <alignment readingOrder="0"/>
    </xf>
    <xf borderId="27" fillId="0" fontId="4" numFmtId="0" xfId="0" applyBorder="1" applyFont="1"/>
    <xf borderId="23" fillId="13" fontId="16" numFmtId="0" xfId="0" applyAlignment="1" applyBorder="1" applyFill="1" applyFont="1">
      <alignment readingOrder="0"/>
    </xf>
    <xf borderId="13" fillId="13" fontId="16" numFmtId="0" xfId="0" applyAlignment="1" applyBorder="1" applyFill="1" applyFont="1">
      <alignment readingOrder="0"/>
    </xf>
    <xf borderId="13" fillId="11" fontId="16" numFmtId="0" xfId="0" applyAlignment="1" applyBorder="1" applyFill="1" applyFont="1">
      <alignment readingOrder="0"/>
    </xf>
    <xf borderId="13" fillId="12" fontId="16" numFmtId="0" xfId="0" applyAlignment="1" applyBorder="1" applyFill="1" applyFont="1">
      <alignment readingOrder="0"/>
    </xf>
    <xf borderId="23" fillId="0" fontId="16" numFmtId="0" xfId="0" applyAlignment="1" applyBorder="1" applyFont="1">
      <alignment readingOrder="0"/>
    </xf>
    <xf borderId="13" fillId="11" fontId="13" numFmtId="0" xfId="0" applyAlignment="1" applyBorder="1" applyFill="1" applyFont="1">
      <alignment horizontal="center" readingOrder="0"/>
    </xf>
    <xf borderId="13" fillId="0" fontId="16" numFmtId="0" xfId="0" applyAlignment="1" applyBorder="1" applyFont="1">
      <alignment readingOrder="0"/>
    </xf>
    <xf borderId="28" fillId="10" fontId="6" numFmtId="0" xfId="0" applyAlignment="1" applyBorder="1" applyFill="1" applyFont="1">
      <alignment horizontal="center"/>
    </xf>
    <xf borderId="29" fillId="0" fontId="16" numFmtId="0" xfId="0" applyBorder="1" applyFont="1"/>
    <xf borderId="29" fillId="0" fontId="13" numFmtId="0" xfId="0" applyBorder="1" applyFont="1"/>
    <xf borderId="0" fillId="0" fontId="1" numFmtId="0" xfId="0" applyAlignment="1" applyFont="1">
      <alignment horizontal="center" readingOrder="0" vertical="center"/>
    </xf>
    <xf borderId="30" fillId="11" fontId="13" numFmtId="0" xfId="0" applyAlignment="1" applyBorder="1" applyFill="1" applyFont="1">
      <alignment horizontal="center" readingOrder="0"/>
    </xf>
    <xf borderId="31" fillId="16" fontId="5" numFmtId="0" xfId="0" applyAlignment="1" applyBorder="1" applyFill="1" applyFont="1">
      <alignment horizontal="center" vertical="center"/>
    </xf>
    <xf borderId="32" fillId="0" fontId="4" numFmtId="0" xfId="0" applyBorder="1" applyFont="1"/>
    <xf borderId="33" fillId="0" fontId="4" numFmtId="0" xfId="0" applyBorder="1" applyFont="1"/>
    <xf borderId="34" fillId="17" fontId="6" numFmtId="0" xfId="0" applyAlignment="1" applyBorder="1" applyFill="1" applyFont="1">
      <alignment readingOrder="0"/>
    </xf>
    <xf borderId="30" fillId="12" fontId="13" numFmtId="0" xfId="0" applyAlignment="1" applyBorder="1" applyFill="1" applyFont="1">
      <alignment horizontal="center" readingOrder="0"/>
    </xf>
    <xf borderId="29" fillId="11" fontId="13" numFmtId="0" xfId="0" applyAlignment="1" applyBorder="1" applyFill="1" applyFont="1">
      <alignment horizontal="center" readingOrder="0"/>
    </xf>
    <xf borderId="30" fillId="0" fontId="15" numFmtId="0" xfId="0" applyAlignment="1" applyBorder="1" applyFont="1">
      <alignment readingOrder="0"/>
    </xf>
    <xf borderId="35" fillId="0" fontId="4" numFmtId="0" xfId="0" applyBorder="1" applyFont="1"/>
    <xf borderId="34" fillId="17" fontId="6" numFmtId="0" xfId="0" applyBorder="1" applyFill="1" applyFont="1"/>
    <xf borderId="36" fillId="17" fontId="6" numFmtId="0" xfId="0" applyBorder="1" applyFill="1" applyFont="1"/>
    <xf borderId="0" fillId="0" fontId="1" numFmtId="0" xfId="0" applyAlignment="1" applyFont="1">
      <alignment readingOrder="0"/>
    </xf>
    <xf borderId="37" fillId="18" fontId="5" numFmtId="0" xfId="0" applyAlignment="1" applyBorder="1" applyFill="1" applyFont="1">
      <alignment horizontal="center" shrinkToFit="0" vertical="center" wrapText="1"/>
    </xf>
    <xf borderId="38" fillId="16" fontId="5" numFmtId="0" xfId="0" applyAlignment="1" applyBorder="1" applyFill="1" applyFont="1">
      <alignment horizontal="center" vertical="center"/>
    </xf>
    <xf borderId="39" fillId="19" fontId="10" numFmtId="0" xfId="0" applyAlignment="1" applyBorder="1" applyFill="1" applyFont="1">
      <alignment readingOrder="0"/>
    </xf>
    <xf borderId="22" fillId="17" fontId="6" numFmtId="0" xfId="0" applyAlignment="1" applyBorder="1" applyFill="1" applyFont="1">
      <alignment readingOrder="0"/>
    </xf>
    <xf borderId="39" fillId="19" fontId="10" numFmtId="0" xfId="0" applyBorder="1" applyFill="1" applyFont="1"/>
    <xf borderId="40" fillId="19" fontId="10" numFmtId="0" xfId="0" applyBorder="1" applyFill="1" applyFont="1"/>
    <xf borderId="41" fillId="19" fontId="10" numFmtId="0" xfId="0" applyAlignment="1" applyBorder="1" applyFill="1" applyFont="1">
      <alignment readingOrder="0"/>
    </xf>
    <xf borderId="9" fillId="18" fontId="5" numFmtId="0" xfId="0" applyAlignment="1" applyBorder="1" applyFill="1" applyFont="1">
      <alignment horizontal="center" shrinkToFit="0" vertical="center" wrapText="1"/>
    </xf>
    <xf borderId="42" fillId="19" fontId="6" numFmtId="0" xfId="0" applyAlignment="1" applyBorder="1" applyFill="1" applyFont="1">
      <alignment readingOrder="0"/>
    </xf>
    <xf borderId="39" fillId="19" fontId="6" numFmtId="0" xfId="0" applyAlignment="1" applyBorder="1" applyFill="1" applyFont="1">
      <alignment readingOrder="0"/>
    </xf>
    <xf borderId="1" fillId="19" fontId="10" numFmtId="0" xfId="0" applyAlignment="1" applyBorder="1" applyFill="1" applyFont="1">
      <alignment readingOrder="0"/>
    </xf>
    <xf borderId="39" fillId="19" fontId="6" numFmtId="0" xfId="0" applyBorder="1" applyFill="1" applyFont="1"/>
    <xf borderId="43" fillId="19" fontId="10" numFmtId="0" xfId="0" applyAlignment="1" applyBorder="1" applyFill="1" applyFont="1">
      <alignment readingOrder="0"/>
    </xf>
    <xf borderId="29" fillId="0" fontId="16" numFmtId="0" xfId="0" applyAlignment="1" applyBorder="1" applyFont="1">
      <alignment readingOrder="0"/>
    </xf>
    <xf borderId="0" fillId="19" fontId="10" numFmtId="0" xfId="0" applyAlignment="1" applyFill="1" applyFont="1">
      <alignment readingOrder="0"/>
    </xf>
    <xf borderId="42" fillId="19" fontId="10" numFmtId="0" xfId="0" applyBorder="1" applyFill="1" applyFont="1"/>
    <xf borderId="12" fillId="19" fontId="10" numFmtId="0" xfId="0" applyBorder="1" applyFill="1" applyFont="1"/>
    <xf borderId="12" fillId="19" fontId="10" numFmtId="0" xfId="0" applyAlignment="1" applyBorder="1" applyFill="1" applyFont="1">
      <alignment readingOrder="0"/>
    </xf>
    <xf borderId="11" fillId="19" fontId="10" numFmtId="0" xfId="0" applyBorder="1" applyFill="1" applyFont="1"/>
    <xf borderId="44" fillId="0" fontId="4" numFmtId="0" xfId="0" applyBorder="1" applyFont="1"/>
    <xf borderId="45" fillId="19" fontId="6" numFmtId="0" xfId="0" applyBorder="1" applyFill="1" applyFont="1"/>
    <xf borderId="46" fillId="19" fontId="6" numFmtId="0" xfId="0" applyBorder="1" applyFill="1" applyFont="1"/>
    <xf borderId="46" fillId="19" fontId="6" numFmtId="0" xfId="0" applyAlignment="1" applyBorder="1" applyFill="1" applyFont="1">
      <alignment readingOrder="0"/>
    </xf>
    <xf borderId="47" fillId="19" fontId="10" numFmtId="0" xfId="0" applyBorder="1" applyFill="1" applyFont="1"/>
    <xf borderId="46" fillId="19" fontId="10" numFmtId="0" xfId="0" applyBorder="1" applyFill="1" applyFont="1"/>
    <xf borderId="48" fillId="19" fontId="10" numFmtId="0" xfId="0" applyBorder="1" applyFill="1" applyFont="1"/>
    <xf borderId="11" fillId="19" fontId="10" numFmtId="0" xfId="0" applyAlignment="1" applyBorder="1" applyFill="1" applyFont="1">
      <alignment readingOrder="0"/>
    </xf>
    <xf borderId="0" fillId="0" fontId="17" numFmtId="0" xfId="0" applyAlignment="1" applyFont="1">
      <alignment horizontal="center"/>
    </xf>
    <xf borderId="49" fillId="0" fontId="17" numFmtId="0" xfId="0" applyAlignment="1" applyBorder="1" applyFont="1">
      <alignment horizontal="center"/>
    </xf>
    <xf borderId="49" fillId="0" fontId="4" numFmtId="0" xfId="0" applyBorder="1" applyFont="1"/>
    <xf borderId="26" fillId="11" fontId="12" numFmtId="0" xfId="0" applyAlignment="1" applyBorder="1" applyFill="1" applyFont="1">
      <alignment horizontal="center"/>
    </xf>
    <xf borderId="50" fillId="12" fontId="12" numFmtId="0" xfId="0" applyAlignment="1" applyBorder="1" applyFill="1" applyFont="1">
      <alignment horizontal="center"/>
    </xf>
    <xf borderId="51" fillId="0" fontId="4" numFmtId="0" xfId="0" applyBorder="1" applyFont="1"/>
    <xf borderId="46" fillId="19" fontId="10" numFmtId="0" xfId="0" applyAlignment="1" applyBorder="1" applyFill="1" applyFont="1">
      <alignment readingOrder="0"/>
    </xf>
    <xf borderId="50" fillId="13" fontId="12" numFmtId="0" xfId="0" applyAlignment="1" applyBorder="1" applyFill="1" applyFont="1">
      <alignment horizontal="center"/>
    </xf>
    <xf borderId="50" fillId="14" fontId="12" numFmtId="0" xfId="0" applyAlignment="1" applyBorder="1" applyFill="1" applyFont="1">
      <alignment horizontal="center"/>
    </xf>
    <xf borderId="52" fillId="11" fontId="12" numFmtId="0" xfId="0" applyAlignment="1" applyBorder="1" applyFill="1" applyFont="1">
      <alignment horizontal="center"/>
    </xf>
    <xf borderId="0" fillId="2" fontId="3" numFmtId="0" xfId="0" applyFill="1" applyFont="1"/>
    <xf borderId="0" fillId="6" fontId="7" numFmtId="0" xfId="0" applyAlignment="1" applyFill="1" applyFont="1">
      <alignment horizontal="center"/>
    </xf>
    <xf borderId="0" fillId="7" fontId="7" numFmtId="0" xfId="0" applyAlignment="1" applyFill="1" applyFont="1">
      <alignment horizontal="center" shrinkToFit="0" wrapText="1"/>
    </xf>
    <xf borderId="53" fillId="20" fontId="18" numFmtId="0" xfId="0" applyAlignment="1" applyBorder="1" applyFill="1" applyFont="1">
      <alignment horizontal="center" readingOrder="0" shrinkToFit="0" wrapText="0"/>
    </xf>
    <xf borderId="53" fillId="11" fontId="18" numFmtId="0" xfId="0" applyAlignment="1" applyBorder="1" applyFill="1" applyFont="1">
      <alignment horizontal="center" readingOrder="0" shrinkToFit="0" wrapText="0"/>
    </xf>
    <xf borderId="53" fillId="21" fontId="18" numFmtId="0" xfId="0" applyAlignment="1" applyBorder="1" applyFill="1" applyFont="1">
      <alignment horizontal="center" readingOrder="0" shrinkToFit="0" wrapText="0"/>
    </xf>
    <xf borderId="53" fillId="22" fontId="18" numFmtId="0" xfId="0" applyAlignment="1" applyBorder="1" applyFill="1" applyFont="1">
      <alignment horizontal="center" readingOrder="0" shrinkToFit="0" wrapText="0"/>
    </xf>
    <xf borderId="0" fillId="0" fontId="16" numFmtId="0" xfId="0" applyFont="1"/>
    <xf borderId="53" fillId="14" fontId="18" numFmtId="0" xfId="0" applyAlignment="1" applyBorder="1" applyFill="1" applyFont="1">
      <alignment horizontal="center" readingOrder="0" shrinkToFit="0" wrapText="0"/>
    </xf>
    <xf borderId="54" fillId="23" fontId="19" numFmtId="0" xfId="0" applyAlignment="1" applyBorder="1" applyFill="1" applyFont="1">
      <alignment horizontal="center" readingOrder="0"/>
    </xf>
    <xf borderId="0" fillId="14" fontId="6" numFmtId="0" xfId="0" applyFill="1" applyFont="1"/>
    <xf borderId="0" fillId="17" fontId="6" numFmtId="0" xfId="0" applyFill="1" applyFont="1"/>
    <xf borderId="54" fillId="24" fontId="20" numFmtId="0" xfId="0" applyAlignment="1" applyBorder="1" applyFill="1" applyFont="1">
      <alignment horizontal="center" readingOrder="0" shrinkToFit="0" wrapText="0"/>
    </xf>
    <xf borderId="54" fillId="24" fontId="20" numFmtId="0" xfId="0" applyAlignment="1" applyBorder="1" applyFill="1" applyFont="1">
      <alignment horizontal="center" shrinkToFit="0" wrapText="0"/>
    </xf>
    <xf borderId="0" fillId="14" fontId="10" numFmtId="0" xfId="0" applyFill="1" applyFont="1"/>
    <xf borderId="0" fillId="19" fontId="10" numFmtId="0" xfId="0" applyFill="1" applyFont="1"/>
    <xf borderId="54" fillId="24" fontId="20" numFmtId="0" xfId="0" applyAlignment="1" applyBorder="1" applyFill="1" applyFont="1">
      <alignment horizontal="center" shrinkToFit="0" wrapText="0"/>
    </xf>
    <xf borderId="55" fillId="14" fontId="21" numFmtId="0" xfId="0" applyAlignment="1" applyBorder="1" applyFill="1" applyFont="1">
      <alignment horizontal="center" shrinkToFit="0" wrapText="0"/>
    </xf>
    <xf borderId="55" fillId="23" fontId="21" numFmtId="0" xfId="0" applyAlignment="1" applyBorder="1" applyFill="1" applyFont="1">
      <alignment horizontal="center" shrinkToFit="0" wrapText="0"/>
    </xf>
    <xf borderId="26" fillId="25" fontId="12" numFmtId="0" xfId="0" applyAlignment="1" applyBorder="1" applyFill="1" applyFont="1">
      <alignment horizontal="center"/>
    </xf>
    <xf borderId="52" fillId="25" fontId="12" numFmtId="0" xfId="0" applyAlignment="1" applyBorder="1" applyFill="1" applyFont="1">
      <alignment horizontal="center"/>
    </xf>
    <xf borderId="0" fillId="25" fontId="1" numFmtId="0" xfId="0" applyFill="1" applyFont="1"/>
    <xf borderId="3" fillId="2" fontId="3" numFmtId="0" xfId="0" applyAlignment="1" applyBorder="1" applyFill="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workbookViewId="0"/>
  </sheetViews>
  <sheetFormatPr customHeight="1" defaultColWidth="12.63" defaultRowHeight="15.0"/>
  <cols>
    <col customWidth="1" min="1" max="1" width="3.75"/>
    <col customWidth="1" min="2" max="2" width="11.88"/>
    <col customWidth="1" min="3" max="3" width="36.75"/>
    <col customWidth="1" min="4" max="4" width="22.5"/>
    <col customWidth="1" min="5" max="5" width="21.25"/>
    <col customWidth="1" hidden="1" min="6" max="6" width="30.63"/>
    <col customWidth="1" min="7" max="7" width="6.63"/>
  </cols>
  <sheetData>
    <row r="1" ht="15.75" customHeight="1">
      <c r="B1" s="2" t="s">
        <v>0</v>
      </c>
      <c r="C1" s="1"/>
      <c r="D1" s="1"/>
      <c r="E1" s="1"/>
      <c r="F1" s="1"/>
      <c r="G1" s="1"/>
      <c r="H1" s="1"/>
      <c r="I1" s="1"/>
      <c r="J1" s="1"/>
      <c r="K1" s="1"/>
      <c r="L1" s="1"/>
      <c r="M1" s="1"/>
      <c r="N1" s="1"/>
      <c r="O1" s="1"/>
      <c r="P1" s="1"/>
      <c r="Q1" s="1"/>
      <c r="R1" s="1"/>
      <c r="S1" s="1"/>
      <c r="T1" s="1"/>
      <c r="U1" s="1"/>
      <c r="V1" s="1"/>
      <c r="W1" s="1"/>
      <c r="X1" s="1"/>
      <c r="Y1" s="1"/>
      <c r="Z1" s="1"/>
    </row>
    <row r="2" ht="15.75" customHeight="1">
      <c r="A2" s="3"/>
      <c r="B2" s="4" t="s">
        <v>1</v>
      </c>
      <c r="C2" s="5"/>
      <c r="D2" s="5"/>
      <c r="E2" s="5"/>
      <c r="F2" s="1"/>
      <c r="G2" s="1"/>
      <c r="H2" s="4" t="s">
        <v>3</v>
      </c>
      <c r="I2" s="5"/>
      <c r="J2" s="5"/>
      <c r="K2" s="5"/>
      <c r="L2" s="5"/>
      <c r="M2" s="5"/>
      <c r="N2" s="1"/>
      <c r="O2" s="1"/>
      <c r="P2" s="1"/>
      <c r="Q2" s="1"/>
      <c r="R2" s="1"/>
      <c r="S2" s="1"/>
      <c r="T2" s="1"/>
      <c r="U2" s="1"/>
      <c r="V2" s="1"/>
      <c r="W2" s="1"/>
      <c r="X2" s="1"/>
      <c r="Y2" s="1"/>
      <c r="Z2" s="1"/>
    </row>
    <row r="3" ht="15.75" customHeight="1">
      <c r="A3" s="3"/>
      <c r="B3" s="1"/>
      <c r="C3" s="1"/>
      <c r="D3" s="1"/>
      <c r="E3" s="1"/>
      <c r="F3" s="1" t="b">
        <f>E6=""</f>
        <v>0</v>
      </c>
      <c r="G3" s="1"/>
      <c r="H3" s="1"/>
      <c r="I3" s="1"/>
      <c r="J3" s="1"/>
      <c r="K3" s="1"/>
      <c r="L3" s="1"/>
      <c r="M3" s="1"/>
      <c r="N3" s="1"/>
      <c r="O3" s="1"/>
      <c r="P3" s="1"/>
      <c r="Q3" s="1"/>
      <c r="R3" s="1"/>
      <c r="S3" s="1"/>
      <c r="T3" s="1"/>
      <c r="U3" s="1"/>
      <c r="V3" s="1"/>
      <c r="W3" s="1"/>
      <c r="X3" s="1"/>
      <c r="Y3" s="1"/>
      <c r="Z3" s="1"/>
    </row>
    <row r="4" ht="15.75" customHeight="1">
      <c r="A4" s="3"/>
      <c r="B4" s="10" t="s">
        <v>7</v>
      </c>
      <c r="C4" s="10" t="s">
        <v>10</v>
      </c>
      <c r="D4" s="10" t="s">
        <v>11</v>
      </c>
      <c r="E4" s="10" t="s">
        <v>12</v>
      </c>
      <c r="F4" s="13" t="s">
        <v>13</v>
      </c>
      <c r="G4" s="1"/>
      <c r="H4" s="8" t="s">
        <v>6</v>
      </c>
      <c r="I4" s="9" t="s">
        <v>8</v>
      </c>
      <c r="J4" s="11" t="s">
        <v>9</v>
      </c>
      <c r="K4" s="12"/>
      <c r="L4" s="14"/>
      <c r="M4" s="15" t="s">
        <v>14</v>
      </c>
      <c r="N4" s="1"/>
      <c r="O4" s="1"/>
      <c r="P4" s="1"/>
      <c r="Q4" s="1"/>
      <c r="R4" s="1"/>
      <c r="S4" s="1"/>
      <c r="T4" s="1"/>
      <c r="U4" s="1"/>
      <c r="V4" s="1"/>
      <c r="W4" s="1"/>
      <c r="X4" s="1"/>
      <c r="Y4" s="1"/>
      <c r="Z4" s="1"/>
    </row>
    <row r="5" ht="15.75" customHeight="1">
      <c r="A5" s="3"/>
      <c r="B5" s="18"/>
      <c r="C5" s="18"/>
      <c r="D5" s="18"/>
      <c r="E5" s="18"/>
      <c r="F5" s="18"/>
      <c r="G5" s="1"/>
      <c r="H5" s="18"/>
      <c r="I5" s="19"/>
      <c r="J5" s="20" t="s">
        <v>17</v>
      </c>
      <c r="K5" s="20" t="s">
        <v>18</v>
      </c>
      <c r="L5" s="20" t="s">
        <v>17</v>
      </c>
      <c r="M5" s="19"/>
      <c r="N5" s="1"/>
      <c r="O5" s="1"/>
      <c r="P5" s="1"/>
      <c r="Q5" s="1"/>
      <c r="R5" s="1"/>
      <c r="S5" s="1"/>
      <c r="T5" s="1"/>
      <c r="U5" s="1"/>
      <c r="V5" s="1"/>
      <c r="W5" s="1"/>
      <c r="X5" s="1"/>
      <c r="Y5" s="1"/>
      <c r="Z5" s="1"/>
    </row>
    <row r="6" ht="18.75" customHeight="1">
      <c r="A6" s="3"/>
      <c r="B6" s="22"/>
      <c r="C6" s="24" t="s">
        <v>20</v>
      </c>
      <c r="D6" s="26" t="s">
        <v>21</v>
      </c>
      <c r="E6" s="27">
        <v>4.6940086E7</v>
      </c>
      <c r="F6" s="28" t="str">
        <f>IF($F$3,"", RIGHT("00000000"&amp;TRIM($E6*ROW($F6)),8))</f>
        <v>81640516</v>
      </c>
      <c r="G6" s="1"/>
      <c r="H6" s="29" t="s">
        <v>22</v>
      </c>
      <c r="I6" s="30" t="str">
        <f>IF($F$3,"","t1")</f>
        <v>t1</v>
      </c>
      <c r="J6" s="30">
        <f t="shared" ref="J6:J11" si="1">IF($F$3,"",MOD(VALUE(MID($F6,3,2)),6) +1)</f>
        <v>5</v>
      </c>
      <c r="K6" s="30">
        <f t="shared" ref="K6:K11" si="2">IF($F$3,"",MOD(VALUE(MID($F6,3,2)),4) +1)</f>
        <v>1</v>
      </c>
      <c r="L6" s="30">
        <f t="shared" ref="L6:L11" si="3">IF($F$3,"",MOD(VALUE(MID($F6,3,2)),5) +1)</f>
        <v>5</v>
      </c>
      <c r="M6" s="30" t="str">
        <f t="shared" ref="M6:M11" si="4">IF($F$3,"",IF(MOD(VALUE($F6),3)=0,"Alta",IF(MOD(VALUE($F6),3)=1,"Media","Baja")))</f>
        <v>Media</v>
      </c>
      <c r="N6" s="1"/>
      <c r="O6" s="1"/>
      <c r="P6" s="1"/>
      <c r="Q6" s="1"/>
      <c r="R6" s="1"/>
      <c r="S6" s="1"/>
      <c r="T6" s="1"/>
      <c r="U6" s="1"/>
      <c r="V6" s="1"/>
      <c r="W6" s="1"/>
      <c r="X6" s="1"/>
      <c r="Y6" s="1"/>
      <c r="Z6" s="1"/>
    </row>
    <row r="7" ht="18.75" customHeight="1">
      <c r="A7" s="3"/>
      <c r="B7" s="22"/>
      <c r="C7" s="24" t="s">
        <v>23</v>
      </c>
      <c r="D7" s="32" t="s">
        <v>24</v>
      </c>
      <c r="E7" s="27">
        <v>4.7066282E7</v>
      </c>
      <c r="F7" s="28" t="str">
        <f t="shared" ref="F7:F11" si="5">IF($F$3,"", RIGHT("00000000"&amp;TRIM(IF(E7="",$F6+1, $E7)*ROW($F7)),8))</f>
        <v>29463974</v>
      </c>
      <c r="G7" s="1"/>
      <c r="H7" s="34" t="s">
        <v>25</v>
      </c>
      <c r="I7" s="35" t="str">
        <f t="shared" ref="I7:I11" si="6">IF($F$3,"","t"&amp;MOD(VALUE(MID($F7,1,2)),7)+1)</f>
        <v>t2</v>
      </c>
      <c r="J7" s="35">
        <f t="shared" si="1"/>
        <v>5</v>
      </c>
      <c r="K7" s="35">
        <f t="shared" si="2"/>
        <v>3</v>
      </c>
      <c r="L7" s="35">
        <f t="shared" si="3"/>
        <v>2</v>
      </c>
      <c r="M7" s="35" t="str">
        <f t="shared" si="4"/>
        <v>Baja</v>
      </c>
      <c r="N7" s="1"/>
      <c r="O7" s="1"/>
      <c r="P7" s="1"/>
      <c r="Q7" s="1"/>
      <c r="R7" s="1"/>
      <c r="S7" s="1"/>
      <c r="T7" s="1"/>
      <c r="U7" s="1"/>
      <c r="V7" s="1"/>
      <c r="W7" s="1"/>
      <c r="X7" s="1"/>
      <c r="Y7" s="1"/>
      <c r="Z7" s="1"/>
    </row>
    <row r="8" ht="18.75" customHeight="1">
      <c r="A8" s="3"/>
      <c r="B8" s="22"/>
      <c r="C8" s="24" t="s">
        <v>27</v>
      </c>
      <c r="D8" s="26" t="s">
        <v>28</v>
      </c>
      <c r="E8" s="27">
        <v>4.6948504E7</v>
      </c>
      <c r="F8" s="28" t="str">
        <f t="shared" si="5"/>
        <v>75588032</v>
      </c>
      <c r="G8" s="1"/>
      <c r="H8" s="29" t="s">
        <v>30</v>
      </c>
      <c r="I8" s="30" t="str">
        <f t="shared" si="6"/>
        <v>t6</v>
      </c>
      <c r="J8" s="30">
        <f t="shared" si="1"/>
        <v>5</v>
      </c>
      <c r="K8" s="30">
        <f t="shared" si="2"/>
        <v>3</v>
      </c>
      <c r="L8" s="30">
        <f t="shared" si="3"/>
        <v>4</v>
      </c>
      <c r="M8" s="30" t="str">
        <f t="shared" si="4"/>
        <v>Baja</v>
      </c>
      <c r="N8" s="1"/>
      <c r="O8" s="1"/>
      <c r="P8" s="1"/>
      <c r="Q8" s="1"/>
      <c r="R8" s="1"/>
      <c r="S8" s="1"/>
      <c r="T8" s="1"/>
      <c r="U8" s="1"/>
      <c r="V8" s="1"/>
      <c r="W8" s="1"/>
      <c r="X8" s="1"/>
      <c r="Y8" s="1"/>
      <c r="Z8" s="1"/>
    </row>
    <row r="9" ht="18.75" customHeight="1">
      <c r="A9" s="3"/>
      <c r="B9" s="22"/>
      <c r="C9" s="24" t="s">
        <v>33</v>
      </c>
      <c r="D9" s="32" t="s">
        <v>34</v>
      </c>
      <c r="E9" s="27">
        <v>4.7572053E7</v>
      </c>
      <c r="F9" s="28" t="str">
        <f t="shared" si="5"/>
        <v>28148477</v>
      </c>
      <c r="G9" s="1"/>
      <c r="H9" s="34" t="s">
        <v>35</v>
      </c>
      <c r="I9" s="35" t="str">
        <f t="shared" si="6"/>
        <v>t1</v>
      </c>
      <c r="J9" s="35">
        <f t="shared" si="1"/>
        <v>3</v>
      </c>
      <c r="K9" s="35">
        <f t="shared" si="2"/>
        <v>3</v>
      </c>
      <c r="L9" s="35">
        <f t="shared" si="3"/>
        <v>5</v>
      </c>
      <c r="M9" s="35" t="str">
        <f t="shared" si="4"/>
        <v>Baja</v>
      </c>
      <c r="N9" s="1"/>
      <c r="O9" s="1"/>
      <c r="P9" s="1"/>
      <c r="Q9" s="1"/>
      <c r="R9" s="1"/>
      <c r="S9" s="1"/>
      <c r="T9" s="1"/>
      <c r="U9" s="1"/>
      <c r="V9" s="1"/>
      <c r="W9" s="1"/>
      <c r="X9" s="1"/>
      <c r="Y9" s="1"/>
      <c r="Z9" s="1"/>
    </row>
    <row r="10" ht="18.75" customHeight="1">
      <c r="A10" s="3"/>
      <c r="B10" s="22"/>
      <c r="C10" s="24" t="s">
        <v>36</v>
      </c>
      <c r="D10" s="26" t="s">
        <v>37</v>
      </c>
      <c r="E10" s="27">
        <v>4.7515979E7</v>
      </c>
      <c r="F10" s="28" t="str">
        <f t="shared" si="5"/>
        <v>75159790</v>
      </c>
      <c r="G10" s="1"/>
      <c r="H10" s="29" t="s">
        <v>38</v>
      </c>
      <c r="I10" s="30" t="str">
        <f t="shared" si="6"/>
        <v>t6</v>
      </c>
      <c r="J10" s="30">
        <f t="shared" si="1"/>
        <v>4</v>
      </c>
      <c r="K10" s="30">
        <f t="shared" si="2"/>
        <v>4</v>
      </c>
      <c r="L10" s="30">
        <f t="shared" si="3"/>
        <v>1</v>
      </c>
      <c r="M10" s="30" t="str">
        <f t="shared" si="4"/>
        <v>Media</v>
      </c>
      <c r="N10" s="1"/>
      <c r="O10" s="1"/>
      <c r="P10" s="1"/>
      <c r="Q10" s="1"/>
      <c r="R10" s="1"/>
      <c r="S10" s="1"/>
      <c r="T10" s="1"/>
      <c r="U10" s="1"/>
      <c r="V10" s="1"/>
      <c r="W10" s="1"/>
      <c r="X10" s="1"/>
      <c r="Y10" s="1"/>
      <c r="Z10" s="1"/>
    </row>
    <row r="11" ht="18.75" customHeight="1">
      <c r="A11" s="3"/>
      <c r="B11" s="22"/>
      <c r="C11" s="22"/>
      <c r="D11" s="46"/>
      <c r="E11" s="47"/>
      <c r="F11" s="28" t="str">
        <f t="shared" si="5"/>
        <v>26757701</v>
      </c>
      <c r="G11" s="1"/>
      <c r="H11" s="34" t="s">
        <v>40</v>
      </c>
      <c r="I11" s="35" t="str">
        <f t="shared" si="6"/>
        <v>t6</v>
      </c>
      <c r="J11" s="35">
        <f t="shared" si="1"/>
        <v>4</v>
      </c>
      <c r="K11" s="35">
        <f t="shared" si="2"/>
        <v>4</v>
      </c>
      <c r="L11" s="35">
        <f t="shared" si="3"/>
        <v>1</v>
      </c>
      <c r="M11" s="35" t="str">
        <f t="shared" si="4"/>
        <v>Baja</v>
      </c>
      <c r="N11" s="1"/>
      <c r="O11" s="1"/>
      <c r="P11" s="1"/>
      <c r="Q11" s="1"/>
      <c r="R11" s="1"/>
      <c r="S11" s="1"/>
      <c r="T11" s="1"/>
      <c r="U11" s="1"/>
      <c r="V11" s="1"/>
      <c r="W11" s="1"/>
      <c r="X11" s="1"/>
      <c r="Y11" s="1"/>
      <c r="Z11" s="1"/>
    </row>
    <row r="12" ht="18.75" customHeight="1">
      <c r="A12" s="3"/>
      <c r="B12" s="1"/>
      <c r="C12" s="1"/>
      <c r="D12" s="1"/>
      <c r="E12" s="1"/>
      <c r="F12" s="1"/>
      <c r="G12" s="1"/>
      <c r="H12" s="1"/>
      <c r="I12" s="1"/>
      <c r="J12" s="1"/>
      <c r="K12" s="1"/>
      <c r="L12" s="1"/>
      <c r="M12" s="1"/>
      <c r="N12" s="1"/>
      <c r="O12" s="1"/>
      <c r="P12" s="1"/>
      <c r="Q12" s="1"/>
      <c r="R12" s="1"/>
      <c r="S12" s="1"/>
      <c r="T12" s="1"/>
      <c r="U12" s="1"/>
      <c r="V12" s="1"/>
      <c r="W12" s="1"/>
      <c r="X12" s="1"/>
      <c r="Y12" s="1"/>
      <c r="Z12" s="1"/>
    </row>
    <row r="13" ht="18.75" customHeight="1">
      <c r="A13" s="3"/>
      <c r="B13" s="1"/>
      <c r="C13" s="1"/>
      <c r="D13" s="1"/>
      <c r="E13" s="1"/>
      <c r="F13" s="1"/>
      <c r="G13" s="1"/>
      <c r="H13" s="1"/>
      <c r="I13" s="1"/>
      <c r="J13" s="1"/>
      <c r="K13" s="1"/>
      <c r="L13" s="1"/>
      <c r="M13" s="1"/>
      <c r="N13" s="1"/>
      <c r="O13" s="1"/>
      <c r="P13" s="1"/>
      <c r="Q13" s="1"/>
      <c r="R13" s="1"/>
      <c r="S13" s="1"/>
      <c r="T13" s="1"/>
      <c r="U13" s="1"/>
      <c r="V13" s="1"/>
      <c r="W13" s="1"/>
      <c r="X13" s="1"/>
      <c r="Y13" s="1"/>
      <c r="Z13" s="1"/>
    </row>
    <row r="14" ht="18.75" customHeight="1">
      <c r="A14" s="3"/>
      <c r="B14" s="1"/>
      <c r="C14" s="1"/>
      <c r="D14" s="1"/>
      <c r="E14" s="1"/>
      <c r="F14" s="1"/>
      <c r="G14" s="1"/>
      <c r="H14" s="1"/>
      <c r="I14" s="1"/>
      <c r="J14" s="1"/>
      <c r="K14" s="1"/>
      <c r="L14" s="1"/>
      <c r="M14" s="1"/>
      <c r="N14" s="1"/>
      <c r="O14" s="1"/>
      <c r="P14" s="1"/>
      <c r="Q14" s="1"/>
      <c r="R14" s="1"/>
      <c r="S14" s="1"/>
      <c r="T14" s="1"/>
      <c r="U14" s="1"/>
      <c r="V14" s="1"/>
      <c r="W14" s="1"/>
      <c r="X14" s="1"/>
      <c r="Y14" s="1"/>
      <c r="Z14" s="1"/>
    </row>
    <row r="15" ht="18.75" customHeight="1">
      <c r="A15" s="3"/>
      <c r="B15" s="1"/>
      <c r="C15" s="1"/>
      <c r="D15" s="1"/>
      <c r="E15" s="1"/>
      <c r="F15" s="1"/>
      <c r="G15" s="1"/>
      <c r="H15" s="1"/>
      <c r="I15" s="1"/>
      <c r="J15" s="1"/>
      <c r="K15" s="1"/>
      <c r="L15" s="1"/>
      <c r="M15" s="1"/>
      <c r="N15" s="1"/>
      <c r="O15" s="1"/>
      <c r="P15" s="1"/>
      <c r="Q15" s="1"/>
      <c r="R15" s="1"/>
      <c r="S15" s="1"/>
      <c r="T15" s="1"/>
      <c r="U15" s="1"/>
      <c r="V15" s="1"/>
      <c r="W15" s="1"/>
      <c r="X15" s="1"/>
      <c r="Y15" s="1"/>
      <c r="Z15" s="1"/>
    </row>
    <row r="16" ht="18.75" customHeight="1">
      <c r="A16" s="3"/>
      <c r="B16" s="1"/>
      <c r="C16" s="1"/>
      <c r="D16" s="1"/>
      <c r="E16" s="1"/>
      <c r="F16" s="1"/>
      <c r="G16" s="1"/>
      <c r="H16" s="1"/>
      <c r="I16" s="1"/>
      <c r="J16" s="1"/>
      <c r="K16" s="1"/>
      <c r="L16" s="1"/>
      <c r="M16" s="1"/>
      <c r="N16" s="1"/>
      <c r="O16" s="1"/>
      <c r="P16" s="1"/>
      <c r="Q16" s="1"/>
      <c r="R16" s="1"/>
      <c r="S16" s="1"/>
      <c r="T16" s="1"/>
      <c r="U16" s="1"/>
      <c r="V16" s="1"/>
      <c r="W16" s="1"/>
      <c r="X16" s="1"/>
      <c r="Y16" s="1"/>
      <c r="Z16" s="1"/>
    </row>
    <row r="17" ht="18.75" customHeight="1">
      <c r="A17" s="3"/>
      <c r="B17" s="1"/>
      <c r="C17" s="1"/>
      <c r="D17" s="1"/>
      <c r="E17" s="1"/>
      <c r="F17" s="1"/>
      <c r="G17" s="1"/>
      <c r="H17" s="1"/>
      <c r="I17" s="1"/>
      <c r="J17" s="1"/>
      <c r="K17" s="1"/>
      <c r="L17" s="1"/>
      <c r="M17" s="1"/>
      <c r="N17" s="1"/>
      <c r="O17" s="1"/>
      <c r="P17" s="1"/>
      <c r="Q17" s="1"/>
      <c r="R17" s="1"/>
      <c r="S17" s="1"/>
      <c r="T17" s="1"/>
      <c r="U17" s="1"/>
      <c r="V17" s="1"/>
      <c r="W17" s="1"/>
      <c r="X17" s="1"/>
      <c r="Y17" s="1"/>
      <c r="Z17" s="1"/>
    </row>
    <row r="18" ht="18.75" customHeight="1">
      <c r="A18" s="3"/>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3"/>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3"/>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3"/>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3"/>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3"/>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3"/>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3"/>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3"/>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3"/>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3"/>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3"/>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3"/>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3"/>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3"/>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3"/>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3"/>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3"/>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3"/>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3"/>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3"/>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3"/>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3"/>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3"/>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3"/>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3"/>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3"/>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3"/>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3"/>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3"/>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3"/>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3"/>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3"/>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3"/>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3"/>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3"/>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3"/>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3"/>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3"/>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3"/>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3"/>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3"/>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3"/>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3"/>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3"/>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3"/>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3"/>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3"/>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3"/>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3"/>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3"/>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3"/>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3"/>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3"/>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3"/>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3"/>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3"/>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3"/>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3"/>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3"/>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3"/>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3"/>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3"/>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3"/>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3"/>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3"/>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3"/>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3"/>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3"/>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3"/>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3"/>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3"/>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3"/>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3"/>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3"/>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3"/>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3"/>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3"/>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3"/>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3"/>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3"/>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3"/>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3"/>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3"/>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3"/>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3"/>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3"/>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3"/>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3"/>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3"/>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3"/>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3"/>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H4:H5"/>
    <mergeCell ref="I4:I5"/>
    <mergeCell ref="J4:L4"/>
    <mergeCell ref="M4:M5"/>
    <mergeCell ref="B2:E2"/>
    <mergeCell ref="H2:M2"/>
    <mergeCell ref="B4:B5"/>
    <mergeCell ref="C4:C5"/>
    <mergeCell ref="D4:D5"/>
    <mergeCell ref="E4:E5"/>
    <mergeCell ref="F4:F5"/>
  </mergeCell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3.75"/>
    <col customWidth="1" min="9" max="9" width="10.38"/>
    <col customWidth="1" min="11" max="60" width="3.75"/>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ht="15.75" customHeight="1">
      <c r="A2" s="1"/>
      <c r="B2" s="6" t="s">
        <v>2</v>
      </c>
      <c r="C2" s="5"/>
      <c r="D2" s="5"/>
      <c r="E2" s="5"/>
      <c r="F2" s="5"/>
      <c r="G2" s="5"/>
      <c r="H2" s="5"/>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ht="15.75" customHeight="1">
      <c r="A4" s="1"/>
      <c r="B4" s="8" t="s">
        <v>6</v>
      </c>
      <c r="C4" s="9" t="s">
        <v>8</v>
      </c>
      <c r="D4" s="11" t="s">
        <v>9</v>
      </c>
      <c r="E4" s="12"/>
      <c r="F4" s="12"/>
      <c r="G4" s="14"/>
      <c r="H4" s="15" t="s">
        <v>14</v>
      </c>
      <c r="I4" s="1"/>
      <c r="J4" s="16" t="s">
        <v>15</v>
      </c>
      <c r="K4" s="17" t="s">
        <v>16</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row>
    <row r="5" ht="15.75" customHeight="1">
      <c r="A5" s="1"/>
      <c r="B5" s="18"/>
      <c r="C5" s="19"/>
      <c r="D5" s="20" t="s">
        <v>17</v>
      </c>
      <c r="E5" s="20" t="s">
        <v>18</v>
      </c>
      <c r="F5" s="20" t="s">
        <v>17</v>
      </c>
      <c r="G5" s="21" t="s">
        <v>19</v>
      </c>
      <c r="H5" s="19"/>
      <c r="I5" s="1"/>
      <c r="J5" s="23"/>
      <c r="K5" s="25">
        <v>1.0</v>
      </c>
      <c r="L5" s="25">
        <f t="shared" ref="L5:BH5" si="1">+K5+1</f>
        <v>2</v>
      </c>
      <c r="M5" s="25">
        <f t="shared" si="1"/>
        <v>3</v>
      </c>
      <c r="N5" s="25">
        <f t="shared" si="1"/>
        <v>4</v>
      </c>
      <c r="O5" s="25">
        <f t="shared" si="1"/>
        <v>5</v>
      </c>
      <c r="P5" s="25">
        <f t="shared" si="1"/>
        <v>6</v>
      </c>
      <c r="Q5" s="25">
        <f t="shared" si="1"/>
        <v>7</v>
      </c>
      <c r="R5" s="25">
        <f t="shared" si="1"/>
        <v>8</v>
      </c>
      <c r="S5" s="25">
        <f t="shared" si="1"/>
        <v>9</v>
      </c>
      <c r="T5" s="25">
        <f t="shared" si="1"/>
        <v>10</v>
      </c>
      <c r="U5" s="25">
        <f t="shared" si="1"/>
        <v>11</v>
      </c>
      <c r="V5" s="25">
        <f t="shared" si="1"/>
        <v>12</v>
      </c>
      <c r="W5" s="25">
        <f t="shared" si="1"/>
        <v>13</v>
      </c>
      <c r="X5" s="25">
        <f t="shared" si="1"/>
        <v>14</v>
      </c>
      <c r="Y5" s="25">
        <f t="shared" si="1"/>
        <v>15</v>
      </c>
      <c r="Z5" s="25">
        <f t="shared" si="1"/>
        <v>16</v>
      </c>
      <c r="AA5" s="25">
        <f t="shared" si="1"/>
        <v>17</v>
      </c>
      <c r="AB5" s="25">
        <f t="shared" si="1"/>
        <v>18</v>
      </c>
      <c r="AC5" s="25">
        <f t="shared" si="1"/>
        <v>19</v>
      </c>
      <c r="AD5" s="25">
        <f t="shared" si="1"/>
        <v>20</v>
      </c>
      <c r="AE5" s="25">
        <f t="shared" si="1"/>
        <v>21</v>
      </c>
      <c r="AF5" s="25">
        <f t="shared" si="1"/>
        <v>22</v>
      </c>
      <c r="AG5" s="25">
        <f t="shared" si="1"/>
        <v>23</v>
      </c>
      <c r="AH5" s="25">
        <f t="shared" si="1"/>
        <v>24</v>
      </c>
      <c r="AI5" s="25">
        <f t="shared" si="1"/>
        <v>25</v>
      </c>
      <c r="AJ5" s="25">
        <f t="shared" si="1"/>
        <v>26</v>
      </c>
      <c r="AK5" s="25">
        <f t="shared" si="1"/>
        <v>27</v>
      </c>
      <c r="AL5" s="25">
        <f t="shared" si="1"/>
        <v>28</v>
      </c>
      <c r="AM5" s="25">
        <f t="shared" si="1"/>
        <v>29</v>
      </c>
      <c r="AN5" s="25">
        <f t="shared" si="1"/>
        <v>30</v>
      </c>
      <c r="AO5" s="25">
        <f t="shared" si="1"/>
        <v>31</v>
      </c>
      <c r="AP5" s="25">
        <f t="shared" si="1"/>
        <v>32</v>
      </c>
      <c r="AQ5" s="25">
        <f t="shared" si="1"/>
        <v>33</v>
      </c>
      <c r="AR5" s="25">
        <f t="shared" si="1"/>
        <v>34</v>
      </c>
      <c r="AS5" s="25">
        <f t="shared" si="1"/>
        <v>35</v>
      </c>
      <c r="AT5" s="25">
        <f t="shared" si="1"/>
        <v>36</v>
      </c>
      <c r="AU5" s="25">
        <f t="shared" si="1"/>
        <v>37</v>
      </c>
      <c r="AV5" s="25">
        <f t="shared" si="1"/>
        <v>38</v>
      </c>
      <c r="AW5" s="25">
        <f t="shared" si="1"/>
        <v>39</v>
      </c>
      <c r="AX5" s="25">
        <f t="shared" si="1"/>
        <v>40</v>
      </c>
      <c r="AY5" s="25">
        <f t="shared" si="1"/>
        <v>41</v>
      </c>
      <c r="AZ5" s="25">
        <f t="shared" si="1"/>
        <v>42</v>
      </c>
      <c r="BA5" s="25">
        <f t="shared" si="1"/>
        <v>43</v>
      </c>
      <c r="BB5" s="25">
        <f t="shared" si="1"/>
        <v>44</v>
      </c>
      <c r="BC5" s="25">
        <f t="shared" si="1"/>
        <v>45</v>
      </c>
      <c r="BD5" s="25">
        <f t="shared" si="1"/>
        <v>46</v>
      </c>
      <c r="BE5" s="25">
        <f t="shared" si="1"/>
        <v>47</v>
      </c>
      <c r="BF5" s="25">
        <f t="shared" si="1"/>
        <v>48</v>
      </c>
      <c r="BG5" s="25">
        <f t="shared" si="1"/>
        <v>49</v>
      </c>
      <c r="BH5" s="31">
        <f t="shared" si="1"/>
        <v>50</v>
      </c>
    </row>
    <row r="6" ht="18.75" customHeight="1">
      <c r="A6" s="1"/>
      <c r="B6" s="29" t="s">
        <v>22</v>
      </c>
      <c r="C6" s="30" t="str">
        <f>'CONFIGURACIÓN'!I6</f>
        <v>t1</v>
      </c>
      <c r="D6" s="30">
        <f>'CONFIGURACIÓN'!J6</f>
        <v>5</v>
      </c>
      <c r="E6" s="30">
        <f>'CONFIGURACIÓN'!K6</f>
        <v>1</v>
      </c>
      <c r="F6" s="30">
        <f>'CONFIGURACIÓN'!L6</f>
        <v>5</v>
      </c>
      <c r="G6" s="33">
        <f t="shared" ref="G6:G11" si="2">IF(D6="","",D6+F6)</f>
        <v>10</v>
      </c>
      <c r="H6" s="30" t="str">
        <f>'CONFIGURACIÓN'!M6</f>
        <v>Media</v>
      </c>
      <c r="I6" s="1"/>
      <c r="J6" s="36" t="str">
        <f t="shared" ref="J6:J11" si="3">+B6</f>
        <v>P1</v>
      </c>
      <c r="K6" s="60" t="s">
        <v>31</v>
      </c>
      <c r="L6" s="60" t="s">
        <v>31</v>
      </c>
      <c r="M6" s="60" t="s">
        <v>31</v>
      </c>
      <c r="N6" s="60" t="s">
        <v>31</v>
      </c>
      <c r="O6" s="60" t="s">
        <v>31</v>
      </c>
      <c r="P6" s="60" t="s">
        <v>31</v>
      </c>
      <c r="Q6" s="60" t="s">
        <v>31</v>
      </c>
      <c r="R6" s="60" t="s">
        <v>31</v>
      </c>
      <c r="S6" s="60" t="s">
        <v>31</v>
      </c>
      <c r="T6" s="60" t="s">
        <v>31</v>
      </c>
      <c r="U6" s="60" t="s">
        <v>31</v>
      </c>
      <c r="V6" s="60" t="s">
        <v>31</v>
      </c>
      <c r="W6" s="60" t="s">
        <v>31</v>
      </c>
      <c r="X6" s="60" t="s">
        <v>31</v>
      </c>
      <c r="Y6" s="60" t="s">
        <v>31</v>
      </c>
      <c r="Z6" s="60" t="s">
        <v>31</v>
      </c>
      <c r="AA6" s="60" t="s">
        <v>31</v>
      </c>
      <c r="AB6" s="60" t="s">
        <v>31</v>
      </c>
      <c r="AC6" s="60" t="s">
        <v>31</v>
      </c>
      <c r="AD6" s="60" t="s">
        <v>31</v>
      </c>
      <c r="AE6" s="60" t="s">
        <v>31</v>
      </c>
      <c r="AF6" s="60" t="s">
        <v>31</v>
      </c>
      <c r="AG6" s="60" t="s">
        <v>31</v>
      </c>
      <c r="AH6" s="60" t="s">
        <v>31</v>
      </c>
      <c r="AI6" s="61" t="s">
        <v>31</v>
      </c>
      <c r="AJ6" s="61" t="s">
        <v>31</v>
      </c>
      <c r="AK6" s="61" t="s">
        <v>31</v>
      </c>
      <c r="AL6" s="61" t="s">
        <v>31</v>
      </c>
      <c r="AM6" s="61" t="s">
        <v>31</v>
      </c>
      <c r="AN6" s="61" t="s">
        <v>31</v>
      </c>
      <c r="AO6" s="62" t="s">
        <v>26</v>
      </c>
      <c r="AP6" s="62" t="s">
        <v>26</v>
      </c>
      <c r="AQ6" s="62" t="s">
        <v>26</v>
      </c>
      <c r="AR6" s="62" t="s">
        <v>26</v>
      </c>
      <c r="AS6" s="62" t="s">
        <v>26</v>
      </c>
      <c r="AT6" s="63" t="s">
        <v>29</v>
      </c>
      <c r="AU6" s="60" t="s">
        <v>31</v>
      </c>
      <c r="AV6" s="60" t="s">
        <v>31</v>
      </c>
      <c r="AW6" s="60" t="s">
        <v>31</v>
      </c>
      <c r="AX6" s="62" t="s">
        <v>26</v>
      </c>
      <c r="AY6" s="62" t="s">
        <v>26</v>
      </c>
      <c r="AZ6" s="62" t="s">
        <v>26</v>
      </c>
      <c r="BA6" s="62" t="s">
        <v>26</v>
      </c>
      <c r="BB6" s="62" t="s">
        <v>26</v>
      </c>
      <c r="BC6" s="64" t="s">
        <v>32</v>
      </c>
      <c r="BD6" s="64" t="s">
        <v>32</v>
      </c>
      <c r="BE6" s="64" t="s">
        <v>32</v>
      </c>
      <c r="BF6" s="64" t="s">
        <v>32</v>
      </c>
      <c r="BG6" s="64" t="s">
        <v>32</v>
      </c>
      <c r="BH6" s="64" t="s">
        <v>32</v>
      </c>
    </row>
    <row r="7" ht="18.75" customHeight="1">
      <c r="A7" s="1"/>
      <c r="B7" s="34" t="s">
        <v>25</v>
      </c>
      <c r="C7" s="35" t="str">
        <f>'CONFIGURACIÓN'!I7</f>
        <v>t2</v>
      </c>
      <c r="D7" s="35">
        <f>'CONFIGURACIÓN'!J7</f>
        <v>5</v>
      </c>
      <c r="E7" s="35">
        <f>'CONFIGURACIÓN'!K7</f>
        <v>3</v>
      </c>
      <c r="F7" s="35">
        <f>'CONFIGURACIÓN'!L7</f>
        <v>2</v>
      </c>
      <c r="G7" s="49">
        <f t="shared" si="2"/>
        <v>7</v>
      </c>
      <c r="H7" s="35" t="str">
        <f>'CONFIGURACIÓN'!M7</f>
        <v>Baja</v>
      </c>
      <c r="I7" s="1"/>
      <c r="J7" s="51" t="str">
        <f t="shared" si="3"/>
        <v>P2</v>
      </c>
      <c r="K7" s="52"/>
      <c r="L7" s="61" t="s">
        <v>31</v>
      </c>
      <c r="M7" s="61" t="s">
        <v>31</v>
      </c>
      <c r="N7" s="62" t="s">
        <v>26</v>
      </c>
      <c r="O7" s="62" t="s">
        <v>26</v>
      </c>
      <c r="P7" s="62" t="s">
        <v>26</v>
      </c>
      <c r="Q7" s="62" t="s">
        <v>26</v>
      </c>
      <c r="R7" s="62" t="s">
        <v>26</v>
      </c>
      <c r="S7" s="63" t="s">
        <v>29</v>
      </c>
      <c r="T7" s="63" t="s">
        <v>29</v>
      </c>
      <c r="U7" s="63" t="s">
        <v>29</v>
      </c>
      <c r="V7" s="61" t="s">
        <v>31</v>
      </c>
      <c r="W7" s="61" t="s">
        <v>31</v>
      </c>
      <c r="X7" s="61" t="s">
        <v>31</v>
      </c>
      <c r="Y7" s="61" t="s">
        <v>31</v>
      </c>
      <c r="Z7" s="61" t="s">
        <v>31</v>
      </c>
      <c r="AA7" s="61" t="s">
        <v>31</v>
      </c>
      <c r="AB7" s="62" t="s">
        <v>26</v>
      </c>
      <c r="AC7" s="62" t="s">
        <v>26</v>
      </c>
      <c r="AD7" s="66" t="s">
        <v>32</v>
      </c>
      <c r="AE7" s="66" t="s">
        <v>32</v>
      </c>
      <c r="AF7" s="66" t="s">
        <v>32</v>
      </c>
      <c r="AG7" s="66" t="s">
        <v>32</v>
      </c>
      <c r="AH7" s="66" t="s">
        <v>32</v>
      </c>
      <c r="AI7" s="66" t="s">
        <v>32</v>
      </c>
      <c r="AJ7" s="66" t="s">
        <v>32</v>
      </c>
      <c r="AK7" s="66" t="s">
        <v>32</v>
      </c>
      <c r="AL7" s="66" t="s">
        <v>32</v>
      </c>
      <c r="AM7" s="66" t="s">
        <v>32</v>
      </c>
      <c r="AN7" s="66" t="s">
        <v>32</v>
      </c>
      <c r="AO7" s="66" t="s">
        <v>32</v>
      </c>
      <c r="AP7" s="66" t="s">
        <v>32</v>
      </c>
      <c r="AQ7" s="66" t="s">
        <v>32</v>
      </c>
      <c r="AR7" s="66" t="s">
        <v>32</v>
      </c>
      <c r="AS7" s="66" t="s">
        <v>32</v>
      </c>
      <c r="AT7" s="66" t="s">
        <v>32</v>
      </c>
      <c r="AU7" s="66" t="s">
        <v>32</v>
      </c>
      <c r="AV7" s="66" t="s">
        <v>32</v>
      </c>
      <c r="AW7" s="66" t="s">
        <v>32</v>
      </c>
      <c r="AX7" s="66" t="s">
        <v>32</v>
      </c>
      <c r="AY7" s="66" t="s">
        <v>32</v>
      </c>
      <c r="AZ7" s="66" t="s">
        <v>32</v>
      </c>
      <c r="BA7" s="66" t="s">
        <v>32</v>
      </c>
      <c r="BB7" s="66" t="s">
        <v>32</v>
      </c>
      <c r="BC7" s="66" t="s">
        <v>32</v>
      </c>
      <c r="BD7" s="66" t="s">
        <v>32</v>
      </c>
      <c r="BE7" s="66" t="s">
        <v>32</v>
      </c>
      <c r="BF7" s="66" t="s">
        <v>32</v>
      </c>
      <c r="BG7" s="66" t="s">
        <v>32</v>
      </c>
      <c r="BH7" s="66" t="s">
        <v>32</v>
      </c>
    </row>
    <row r="8" ht="18.75" customHeight="1">
      <c r="A8" s="1"/>
      <c r="B8" s="29" t="s">
        <v>30</v>
      </c>
      <c r="C8" s="30" t="str">
        <f>'CONFIGURACIÓN'!I8</f>
        <v>t6</v>
      </c>
      <c r="D8" s="30">
        <f>'CONFIGURACIÓN'!J8</f>
        <v>5</v>
      </c>
      <c r="E8" s="30">
        <f>'CONFIGURACIÓN'!K8</f>
        <v>3</v>
      </c>
      <c r="F8" s="30">
        <f>'CONFIGURACIÓN'!L8</f>
        <v>4</v>
      </c>
      <c r="G8" s="33">
        <f t="shared" si="2"/>
        <v>9</v>
      </c>
      <c r="H8" s="30" t="str">
        <f>'CONFIGURACIÓN'!M8</f>
        <v>Baja</v>
      </c>
      <c r="I8" s="1"/>
      <c r="J8" s="56" t="str">
        <f t="shared" si="3"/>
        <v>P3</v>
      </c>
      <c r="K8" s="52"/>
      <c r="L8" s="52"/>
      <c r="M8" s="52"/>
      <c r="N8" s="52"/>
      <c r="O8" s="52"/>
      <c r="P8" s="61" t="s">
        <v>31</v>
      </c>
      <c r="Q8" s="61" t="s">
        <v>31</v>
      </c>
      <c r="R8" s="61" t="s">
        <v>31</v>
      </c>
      <c r="S8" s="61" t="s">
        <v>31</v>
      </c>
      <c r="T8" s="61" t="s">
        <v>31</v>
      </c>
      <c r="U8" s="61" t="s">
        <v>31</v>
      </c>
      <c r="V8" s="61" t="s">
        <v>31</v>
      </c>
      <c r="W8" s="61" t="s">
        <v>31</v>
      </c>
      <c r="X8" s="61" t="s">
        <v>31</v>
      </c>
      <c r="Y8" s="61" t="s">
        <v>31</v>
      </c>
      <c r="Z8" s="61" t="s">
        <v>31</v>
      </c>
      <c r="AA8" s="61" t="s">
        <v>31</v>
      </c>
      <c r="AB8" s="61" t="s">
        <v>31</v>
      </c>
      <c r="AC8" s="61" t="s">
        <v>31</v>
      </c>
      <c r="AD8" s="61" t="s">
        <v>31</v>
      </c>
      <c r="AE8" s="61" t="s">
        <v>31</v>
      </c>
      <c r="AF8" s="61" t="s">
        <v>31</v>
      </c>
      <c r="AG8" s="61" t="s">
        <v>31</v>
      </c>
      <c r="AH8" s="61" t="s">
        <v>31</v>
      </c>
      <c r="AI8" s="61" t="s">
        <v>31</v>
      </c>
      <c r="AJ8" s="62" t="s">
        <v>26</v>
      </c>
      <c r="AK8" s="62" t="s">
        <v>26</v>
      </c>
      <c r="AL8" s="62" t="s">
        <v>26</v>
      </c>
      <c r="AM8" s="62" t="s">
        <v>26</v>
      </c>
      <c r="AN8" s="62" t="s">
        <v>26</v>
      </c>
      <c r="AO8" s="63" t="s">
        <v>29</v>
      </c>
      <c r="AP8" s="63" t="s">
        <v>29</v>
      </c>
      <c r="AQ8" s="63" t="s">
        <v>29</v>
      </c>
      <c r="AR8" s="61" t="s">
        <v>31</v>
      </c>
      <c r="AS8" s="61" t="s">
        <v>31</v>
      </c>
      <c r="AT8" s="62" t="s">
        <v>26</v>
      </c>
      <c r="AU8" s="62" t="s">
        <v>26</v>
      </c>
      <c r="AV8" s="62" t="s">
        <v>26</v>
      </c>
      <c r="AW8" s="62" t="s">
        <v>26</v>
      </c>
      <c r="AX8" s="66" t="s">
        <v>32</v>
      </c>
      <c r="AY8" s="66" t="s">
        <v>32</v>
      </c>
      <c r="AZ8" s="66" t="s">
        <v>32</v>
      </c>
      <c r="BA8" s="66" t="s">
        <v>32</v>
      </c>
      <c r="BB8" s="66" t="s">
        <v>32</v>
      </c>
      <c r="BC8" s="66" t="s">
        <v>32</v>
      </c>
      <c r="BD8" s="66" t="s">
        <v>32</v>
      </c>
      <c r="BE8" s="66" t="s">
        <v>32</v>
      </c>
      <c r="BF8" s="66" t="s">
        <v>32</v>
      </c>
      <c r="BG8" s="66" t="s">
        <v>32</v>
      </c>
      <c r="BH8" s="66" t="s">
        <v>32</v>
      </c>
    </row>
    <row r="9" ht="18.75" customHeight="1">
      <c r="A9" s="1"/>
      <c r="B9" s="34" t="s">
        <v>35</v>
      </c>
      <c r="C9" s="35" t="str">
        <f>'CONFIGURACIÓN'!I9</f>
        <v>t1</v>
      </c>
      <c r="D9" s="35">
        <f>'CONFIGURACIÓN'!J9</f>
        <v>3</v>
      </c>
      <c r="E9" s="35">
        <f>'CONFIGURACIÓN'!K9</f>
        <v>3</v>
      </c>
      <c r="F9" s="35">
        <f>'CONFIGURACIÓN'!L9</f>
        <v>5</v>
      </c>
      <c r="G9" s="49">
        <f t="shared" si="2"/>
        <v>8</v>
      </c>
      <c r="H9" s="35" t="str">
        <f>'CONFIGURACIÓN'!M9</f>
        <v>Baja</v>
      </c>
      <c r="I9" s="1"/>
      <c r="J9" s="51" t="str">
        <f t="shared" si="3"/>
        <v>P4</v>
      </c>
      <c r="K9" s="62" t="s">
        <v>26</v>
      </c>
      <c r="L9" s="62" t="s">
        <v>26</v>
      </c>
      <c r="M9" s="62" t="s">
        <v>26</v>
      </c>
      <c r="N9" s="63" t="s">
        <v>29</v>
      </c>
      <c r="O9" s="63" t="s">
        <v>29</v>
      </c>
      <c r="P9" s="63" t="s">
        <v>29</v>
      </c>
      <c r="Q9" s="61" t="s">
        <v>31</v>
      </c>
      <c r="R9" s="61" t="s">
        <v>31</v>
      </c>
      <c r="S9" s="61" t="s">
        <v>31</v>
      </c>
      <c r="T9" s="61" t="s">
        <v>31</v>
      </c>
      <c r="U9" s="61" t="s">
        <v>31</v>
      </c>
      <c r="V9" s="61" t="s">
        <v>31</v>
      </c>
      <c r="W9" s="61" t="s">
        <v>31</v>
      </c>
      <c r="X9" s="61" t="s">
        <v>31</v>
      </c>
      <c r="Y9" s="61" t="s">
        <v>31</v>
      </c>
      <c r="Z9" s="61" t="s">
        <v>31</v>
      </c>
      <c r="AA9" s="61" t="s">
        <v>31</v>
      </c>
      <c r="AB9" s="61" t="s">
        <v>31</v>
      </c>
      <c r="AC9" s="61" t="s">
        <v>31</v>
      </c>
      <c r="AD9" s="62" t="s">
        <v>26</v>
      </c>
      <c r="AE9" s="62" t="s">
        <v>26</v>
      </c>
      <c r="AF9" s="62" t="s">
        <v>26</v>
      </c>
      <c r="AG9" s="62" t="s">
        <v>26</v>
      </c>
      <c r="AH9" s="62" t="s">
        <v>26</v>
      </c>
      <c r="AI9" s="66" t="s">
        <v>32</v>
      </c>
      <c r="AJ9" s="66" t="s">
        <v>32</v>
      </c>
      <c r="AK9" s="66" t="s">
        <v>32</v>
      </c>
      <c r="AL9" s="66" t="s">
        <v>32</v>
      </c>
      <c r="AM9" s="66" t="s">
        <v>32</v>
      </c>
      <c r="AN9" s="66" t="s">
        <v>32</v>
      </c>
      <c r="AO9" s="66" t="s">
        <v>32</v>
      </c>
      <c r="AP9" s="66" t="s">
        <v>32</v>
      </c>
      <c r="AQ9" s="66" t="s">
        <v>32</v>
      </c>
      <c r="AR9" s="66" t="s">
        <v>32</v>
      </c>
      <c r="AS9" s="66" t="s">
        <v>32</v>
      </c>
      <c r="AT9" s="66" t="s">
        <v>32</v>
      </c>
      <c r="AU9" s="66" t="s">
        <v>32</v>
      </c>
      <c r="AV9" s="66" t="s">
        <v>32</v>
      </c>
      <c r="AW9" s="66" t="s">
        <v>32</v>
      </c>
      <c r="AX9" s="66" t="s">
        <v>32</v>
      </c>
      <c r="AY9" s="66" t="s">
        <v>32</v>
      </c>
      <c r="AZ9" s="66" t="s">
        <v>32</v>
      </c>
      <c r="BA9" s="66" t="s">
        <v>32</v>
      </c>
      <c r="BB9" s="66" t="s">
        <v>32</v>
      </c>
      <c r="BC9" s="66" t="s">
        <v>32</v>
      </c>
      <c r="BD9" s="66" t="s">
        <v>32</v>
      </c>
      <c r="BE9" s="66" t="s">
        <v>32</v>
      </c>
      <c r="BF9" s="66" t="s">
        <v>32</v>
      </c>
      <c r="BG9" s="66" t="s">
        <v>32</v>
      </c>
      <c r="BH9" s="66" t="s">
        <v>32</v>
      </c>
    </row>
    <row r="10" ht="18.75" customHeight="1">
      <c r="A10" s="1"/>
      <c r="B10" s="29" t="s">
        <v>38</v>
      </c>
      <c r="C10" s="30" t="str">
        <f>'CONFIGURACIÓN'!I10</f>
        <v>t6</v>
      </c>
      <c r="D10" s="30">
        <f>'CONFIGURACIÓN'!J10</f>
        <v>4</v>
      </c>
      <c r="E10" s="30">
        <f>'CONFIGURACIÓN'!K10</f>
        <v>4</v>
      </c>
      <c r="F10" s="30">
        <f>'CONFIGURACIÓN'!L10</f>
        <v>1</v>
      </c>
      <c r="G10" s="33">
        <f t="shared" si="2"/>
        <v>5</v>
      </c>
      <c r="H10" s="30" t="str">
        <f>'CONFIGURACIÓN'!M10</f>
        <v>Media</v>
      </c>
      <c r="I10" s="1"/>
      <c r="J10" s="56" t="str">
        <f t="shared" si="3"/>
        <v>P5</v>
      </c>
      <c r="K10" s="52"/>
      <c r="L10" s="52"/>
      <c r="M10" s="52"/>
      <c r="N10" s="52"/>
      <c r="O10" s="52"/>
      <c r="P10" s="61" t="s">
        <v>31</v>
      </c>
      <c r="Q10" s="61" t="s">
        <v>31</v>
      </c>
      <c r="R10" s="61" t="s">
        <v>31</v>
      </c>
      <c r="S10" s="62" t="s">
        <v>26</v>
      </c>
      <c r="T10" s="62" t="s">
        <v>26</v>
      </c>
      <c r="U10" s="62" t="s">
        <v>26</v>
      </c>
      <c r="V10" s="62" t="s">
        <v>26</v>
      </c>
      <c r="W10" s="63" t="s">
        <v>29</v>
      </c>
      <c r="X10" s="63" t="s">
        <v>29</v>
      </c>
      <c r="Y10" s="63" t="s">
        <v>29</v>
      </c>
      <c r="Z10" s="63" t="s">
        <v>29</v>
      </c>
      <c r="AA10" s="62" t="s">
        <v>26</v>
      </c>
      <c r="AB10" s="66" t="s">
        <v>32</v>
      </c>
      <c r="AC10" s="66" t="s">
        <v>32</v>
      </c>
      <c r="AD10" s="66" t="s">
        <v>32</v>
      </c>
      <c r="AE10" s="66" t="s">
        <v>32</v>
      </c>
      <c r="AF10" s="66" t="s">
        <v>32</v>
      </c>
      <c r="AG10" s="66" t="s">
        <v>32</v>
      </c>
      <c r="AH10" s="66" t="s">
        <v>32</v>
      </c>
      <c r="AI10" s="66" t="s">
        <v>32</v>
      </c>
      <c r="AJ10" s="66" t="s">
        <v>32</v>
      </c>
      <c r="AK10" s="66" t="s">
        <v>32</v>
      </c>
      <c r="AL10" s="66" t="s">
        <v>32</v>
      </c>
      <c r="AM10" s="66" t="s">
        <v>32</v>
      </c>
      <c r="AN10" s="66" t="s">
        <v>32</v>
      </c>
      <c r="AO10" s="66" t="s">
        <v>32</v>
      </c>
      <c r="AP10" s="66" t="s">
        <v>32</v>
      </c>
      <c r="AQ10" s="66" t="s">
        <v>32</v>
      </c>
      <c r="AR10" s="66" t="s">
        <v>32</v>
      </c>
      <c r="AS10" s="66" t="s">
        <v>32</v>
      </c>
      <c r="AT10" s="66" t="s">
        <v>32</v>
      </c>
      <c r="AU10" s="66" t="s">
        <v>32</v>
      </c>
      <c r="AV10" s="66" t="s">
        <v>32</v>
      </c>
      <c r="AW10" s="66" t="s">
        <v>32</v>
      </c>
      <c r="AX10" s="66" t="s">
        <v>32</v>
      </c>
      <c r="AY10" s="66" t="s">
        <v>32</v>
      </c>
      <c r="AZ10" s="66" t="s">
        <v>32</v>
      </c>
      <c r="BA10" s="66" t="s">
        <v>32</v>
      </c>
      <c r="BB10" s="66" t="s">
        <v>32</v>
      </c>
      <c r="BC10" s="66" t="s">
        <v>32</v>
      </c>
      <c r="BD10" s="66" t="s">
        <v>32</v>
      </c>
      <c r="BE10" s="66" t="s">
        <v>32</v>
      </c>
      <c r="BF10" s="66" t="s">
        <v>32</v>
      </c>
      <c r="BG10" s="66" t="s">
        <v>32</v>
      </c>
      <c r="BH10" s="66" t="s">
        <v>32</v>
      </c>
    </row>
    <row r="11" ht="18.75" customHeight="1">
      <c r="A11" s="1"/>
      <c r="B11" s="34" t="s">
        <v>40</v>
      </c>
      <c r="C11" s="35" t="str">
        <f>'CONFIGURACIÓN'!I11</f>
        <v>t6</v>
      </c>
      <c r="D11" s="35">
        <f>'CONFIGURACIÓN'!J11</f>
        <v>4</v>
      </c>
      <c r="E11" s="35">
        <f>'CONFIGURACIÓN'!K11</f>
        <v>4</v>
      </c>
      <c r="F11" s="35">
        <f>'CONFIGURACIÓN'!L11</f>
        <v>1</v>
      </c>
      <c r="G11" s="49">
        <f t="shared" si="2"/>
        <v>5</v>
      </c>
      <c r="H11" s="35" t="str">
        <f>'CONFIGURACIÓN'!M11</f>
        <v>Baja</v>
      </c>
      <c r="I11" s="1"/>
      <c r="J11" s="67" t="str">
        <f t="shared" si="3"/>
        <v>P6</v>
      </c>
      <c r="K11" s="68"/>
      <c r="L11" s="68"/>
      <c r="M11" s="68"/>
      <c r="N11" s="68"/>
      <c r="O11" s="68"/>
      <c r="P11" s="61" t="s">
        <v>31</v>
      </c>
      <c r="Q11" s="61" t="s">
        <v>31</v>
      </c>
      <c r="R11" s="61" t="s">
        <v>31</v>
      </c>
      <c r="S11" s="61" t="s">
        <v>31</v>
      </c>
      <c r="T11" s="61" t="s">
        <v>31</v>
      </c>
      <c r="U11" s="61" t="s">
        <v>31</v>
      </c>
      <c r="V11" s="61" t="s">
        <v>31</v>
      </c>
      <c r="W11" s="62" t="s">
        <v>26</v>
      </c>
      <c r="X11" s="62" t="s">
        <v>26</v>
      </c>
      <c r="Y11" s="62" t="s">
        <v>26</v>
      </c>
      <c r="Z11" s="62" t="s">
        <v>26</v>
      </c>
      <c r="AA11" s="63" t="s">
        <v>29</v>
      </c>
      <c r="AB11" s="63" t="s">
        <v>29</v>
      </c>
      <c r="AC11" s="63" t="s">
        <v>29</v>
      </c>
      <c r="AD11" s="63" t="s">
        <v>29</v>
      </c>
      <c r="AE11" s="61" t="s">
        <v>31</v>
      </c>
      <c r="AF11" s="61" t="s">
        <v>31</v>
      </c>
      <c r="AG11" s="61" t="s">
        <v>31</v>
      </c>
      <c r="AH11" s="61" t="s">
        <v>31</v>
      </c>
      <c r="AI11" s="62" t="s">
        <v>26</v>
      </c>
      <c r="AJ11" s="96" t="s">
        <v>32</v>
      </c>
      <c r="AK11" s="96" t="s">
        <v>32</v>
      </c>
      <c r="AL11" s="96" t="s">
        <v>32</v>
      </c>
      <c r="AM11" s="96" t="s">
        <v>32</v>
      </c>
      <c r="AN11" s="96" t="s">
        <v>32</v>
      </c>
      <c r="AO11" s="96" t="s">
        <v>32</v>
      </c>
      <c r="AP11" s="96" t="s">
        <v>32</v>
      </c>
      <c r="AQ11" s="96" t="s">
        <v>32</v>
      </c>
      <c r="AR11" s="96" t="s">
        <v>32</v>
      </c>
      <c r="AS11" s="96" t="s">
        <v>32</v>
      </c>
      <c r="AT11" s="96" t="s">
        <v>32</v>
      </c>
      <c r="AU11" s="96" t="s">
        <v>32</v>
      </c>
      <c r="AV11" s="96" t="s">
        <v>32</v>
      </c>
      <c r="AW11" s="96" t="s">
        <v>32</v>
      </c>
      <c r="AX11" s="96" t="s">
        <v>32</v>
      </c>
      <c r="AY11" s="96" t="s">
        <v>32</v>
      </c>
      <c r="AZ11" s="96" t="s">
        <v>32</v>
      </c>
      <c r="BA11" s="96" t="s">
        <v>32</v>
      </c>
      <c r="BB11" s="96" t="s">
        <v>32</v>
      </c>
      <c r="BC11" s="96" t="s">
        <v>32</v>
      </c>
      <c r="BD11" s="96" t="s">
        <v>32</v>
      </c>
      <c r="BE11" s="96" t="s">
        <v>32</v>
      </c>
      <c r="BF11" s="96" t="s">
        <v>32</v>
      </c>
      <c r="BG11" s="96" t="s">
        <v>32</v>
      </c>
      <c r="BH11" s="96" t="s">
        <v>32</v>
      </c>
    </row>
    <row r="12" ht="18.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ht="18.75" customHeight="1">
      <c r="A13" s="1"/>
      <c r="B13" s="1"/>
      <c r="C13" s="1"/>
      <c r="D13" s="1"/>
      <c r="E13" s="1"/>
      <c r="F13" s="1"/>
      <c r="G13" s="1"/>
      <c r="H13" s="1"/>
      <c r="I13" s="1"/>
      <c r="J13" s="72" t="s">
        <v>42</v>
      </c>
      <c r="K13" s="75" t="s">
        <v>35</v>
      </c>
      <c r="L13" s="75" t="s">
        <v>35</v>
      </c>
      <c r="M13" s="75" t="s">
        <v>35</v>
      </c>
      <c r="N13" s="75" t="s">
        <v>25</v>
      </c>
      <c r="O13" s="75" t="s">
        <v>25</v>
      </c>
      <c r="P13" s="75" t="s">
        <v>25</v>
      </c>
      <c r="Q13" s="75" t="s">
        <v>25</v>
      </c>
      <c r="R13" s="75" t="s">
        <v>25</v>
      </c>
      <c r="S13" s="75" t="s">
        <v>38</v>
      </c>
      <c r="T13" s="75" t="s">
        <v>38</v>
      </c>
      <c r="U13" s="75" t="s">
        <v>38</v>
      </c>
      <c r="V13" s="75" t="s">
        <v>38</v>
      </c>
      <c r="W13" s="75" t="s">
        <v>40</v>
      </c>
      <c r="X13" s="75" t="s">
        <v>40</v>
      </c>
      <c r="Y13" s="75" t="s">
        <v>40</v>
      </c>
      <c r="Z13" s="75" t="s">
        <v>40</v>
      </c>
      <c r="AA13" s="75" t="s">
        <v>38</v>
      </c>
      <c r="AB13" s="75" t="s">
        <v>25</v>
      </c>
      <c r="AC13" s="75" t="s">
        <v>25</v>
      </c>
      <c r="AD13" s="75" t="s">
        <v>35</v>
      </c>
      <c r="AE13" s="75" t="s">
        <v>35</v>
      </c>
      <c r="AF13" s="75" t="s">
        <v>35</v>
      </c>
      <c r="AG13" s="75" t="s">
        <v>35</v>
      </c>
      <c r="AH13" s="75" t="s">
        <v>35</v>
      </c>
      <c r="AI13" s="75" t="s">
        <v>40</v>
      </c>
      <c r="AJ13" s="75" t="s">
        <v>30</v>
      </c>
      <c r="AK13" s="75" t="s">
        <v>30</v>
      </c>
      <c r="AL13" s="75" t="s">
        <v>30</v>
      </c>
      <c r="AM13" s="75" t="s">
        <v>30</v>
      </c>
      <c r="AN13" s="75" t="s">
        <v>30</v>
      </c>
      <c r="AO13" s="75" t="s">
        <v>22</v>
      </c>
      <c r="AP13" s="75" t="s">
        <v>22</v>
      </c>
      <c r="AQ13" s="75" t="s">
        <v>22</v>
      </c>
      <c r="AR13" s="75" t="s">
        <v>22</v>
      </c>
      <c r="AS13" s="75" t="s">
        <v>22</v>
      </c>
      <c r="AT13" s="75" t="s">
        <v>30</v>
      </c>
      <c r="AU13" s="75" t="s">
        <v>30</v>
      </c>
      <c r="AV13" s="75" t="s">
        <v>30</v>
      </c>
      <c r="AW13" s="75" t="s">
        <v>30</v>
      </c>
      <c r="AX13" s="75" t="s">
        <v>22</v>
      </c>
      <c r="AY13" s="75" t="s">
        <v>22</v>
      </c>
      <c r="AZ13" s="75" t="s">
        <v>22</v>
      </c>
      <c r="BA13" s="75" t="s">
        <v>22</v>
      </c>
      <c r="BB13" s="75" t="s">
        <v>22</v>
      </c>
      <c r="BC13" s="80"/>
      <c r="BD13" s="80"/>
      <c r="BE13" s="80"/>
      <c r="BF13" s="80"/>
      <c r="BG13" s="80"/>
      <c r="BH13" s="81"/>
    </row>
    <row r="14" ht="18.75" customHeight="1">
      <c r="A14" s="1"/>
      <c r="B14" s="82" t="s">
        <v>47</v>
      </c>
      <c r="C14" s="1"/>
      <c r="D14" s="1"/>
      <c r="E14" s="1"/>
      <c r="F14" s="1"/>
      <c r="G14" s="1"/>
      <c r="H14" s="1"/>
      <c r="I14" s="1"/>
      <c r="J14" s="83" t="s">
        <v>43</v>
      </c>
      <c r="K14" s="85" t="s">
        <v>22</v>
      </c>
      <c r="L14" s="85" t="s">
        <v>22</v>
      </c>
      <c r="M14" s="85" t="s">
        <v>22</v>
      </c>
      <c r="N14" s="85" t="s">
        <v>22</v>
      </c>
      <c r="O14" s="85" t="s">
        <v>22</v>
      </c>
      <c r="P14" s="85" t="s">
        <v>22</v>
      </c>
      <c r="Q14" s="85" t="s">
        <v>22</v>
      </c>
      <c r="R14" s="85" t="s">
        <v>22</v>
      </c>
      <c r="S14" s="85" t="s">
        <v>22</v>
      </c>
      <c r="T14" s="85" t="s">
        <v>22</v>
      </c>
      <c r="U14" s="85" t="s">
        <v>22</v>
      </c>
      <c r="V14" s="85" t="s">
        <v>22</v>
      </c>
      <c r="W14" s="85" t="s">
        <v>22</v>
      </c>
      <c r="X14" s="85" t="s">
        <v>22</v>
      </c>
      <c r="Y14" s="85" t="s">
        <v>22</v>
      </c>
      <c r="Z14" s="85" t="s">
        <v>22</v>
      </c>
      <c r="AA14" s="85" t="s">
        <v>22</v>
      </c>
      <c r="AB14" s="85" t="s">
        <v>22</v>
      </c>
      <c r="AC14" s="85" t="s">
        <v>22</v>
      </c>
      <c r="AD14" s="85" t="s">
        <v>22</v>
      </c>
      <c r="AE14" s="85" t="s">
        <v>22</v>
      </c>
      <c r="AF14" s="85" t="s">
        <v>22</v>
      </c>
      <c r="AG14" s="85" t="s">
        <v>22</v>
      </c>
      <c r="AH14" s="85" t="s">
        <v>22</v>
      </c>
      <c r="AI14" s="85" t="s">
        <v>22</v>
      </c>
      <c r="AJ14" s="85" t="s">
        <v>22</v>
      </c>
      <c r="AK14" s="85" t="s">
        <v>22</v>
      </c>
      <c r="AL14" s="85" t="s">
        <v>22</v>
      </c>
      <c r="AM14" s="85" t="s">
        <v>22</v>
      </c>
      <c r="AN14" s="85" t="s">
        <v>22</v>
      </c>
      <c r="AO14" s="85" t="s">
        <v>22</v>
      </c>
      <c r="AP14" s="87"/>
      <c r="AQ14" s="87"/>
      <c r="AR14" s="85" t="s">
        <v>30</v>
      </c>
      <c r="AS14" s="85" t="s">
        <v>30</v>
      </c>
      <c r="AT14" s="85" t="s">
        <v>30</v>
      </c>
      <c r="AU14" s="85" t="s">
        <v>22</v>
      </c>
      <c r="AV14" s="85" t="s">
        <v>22</v>
      </c>
      <c r="AW14" s="85" t="s">
        <v>22</v>
      </c>
      <c r="AX14" s="85" t="s">
        <v>22</v>
      </c>
      <c r="AY14" s="87"/>
      <c r="AZ14" s="87"/>
      <c r="BA14" s="87"/>
      <c r="BB14" s="87"/>
      <c r="BC14" s="87"/>
      <c r="BD14" s="87"/>
      <c r="BE14" s="87"/>
      <c r="BF14" s="87"/>
      <c r="BG14" s="87"/>
      <c r="BH14" s="88"/>
    </row>
    <row r="15" ht="18.75" customHeight="1">
      <c r="A15" s="1"/>
      <c r="B15" s="82" t="s">
        <v>48</v>
      </c>
      <c r="C15" s="1"/>
      <c r="D15" s="1"/>
      <c r="E15" s="1"/>
      <c r="F15" s="1"/>
      <c r="G15" s="1"/>
      <c r="H15" s="1"/>
      <c r="I15" s="1"/>
      <c r="J15" s="23"/>
      <c r="K15" s="85" t="s">
        <v>35</v>
      </c>
      <c r="L15" s="85" t="s">
        <v>25</v>
      </c>
      <c r="M15" s="85" t="s">
        <v>25</v>
      </c>
      <c r="N15" s="85" t="s">
        <v>25</v>
      </c>
      <c r="O15" s="87"/>
      <c r="P15" s="85" t="s">
        <v>30</v>
      </c>
      <c r="Q15" s="85" t="s">
        <v>30</v>
      </c>
      <c r="R15" s="85" t="s">
        <v>30</v>
      </c>
      <c r="S15" s="85" t="s">
        <v>30</v>
      </c>
      <c r="T15" s="85" t="s">
        <v>30</v>
      </c>
      <c r="U15" s="85" t="s">
        <v>30</v>
      </c>
      <c r="V15" s="85" t="s">
        <v>30</v>
      </c>
      <c r="W15" s="85" t="s">
        <v>30</v>
      </c>
      <c r="X15" s="85" t="s">
        <v>30</v>
      </c>
      <c r="Y15" s="85" t="s">
        <v>30</v>
      </c>
      <c r="Z15" s="85" t="s">
        <v>30</v>
      </c>
      <c r="AA15" s="85" t="s">
        <v>30</v>
      </c>
      <c r="AB15" s="85" t="s">
        <v>30</v>
      </c>
      <c r="AC15" s="85" t="s">
        <v>30</v>
      </c>
      <c r="AD15" s="85" t="s">
        <v>30</v>
      </c>
      <c r="AE15" s="85" t="s">
        <v>30</v>
      </c>
      <c r="AF15" s="85" t="s">
        <v>30</v>
      </c>
      <c r="AG15" s="85" t="s">
        <v>30</v>
      </c>
      <c r="AH15" s="85" t="s">
        <v>30</v>
      </c>
      <c r="AI15" s="85" t="s">
        <v>30</v>
      </c>
      <c r="AJ15" s="85" t="s">
        <v>30</v>
      </c>
      <c r="AK15" s="85"/>
      <c r="AL15" s="87"/>
      <c r="AM15" s="87"/>
      <c r="AN15" s="87"/>
      <c r="AO15" s="87"/>
      <c r="AP15" s="87"/>
      <c r="AQ15" s="87"/>
      <c r="AR15" s="87"/>
      <c r="AS15" s="87"/>
      <c r="AT15" s="87"/>
      <c r="AU15" s="87"/>
      <c r="AV15" s="87"/>
      <c r="AW15" s="87"/>
      <c r="AX15" s="87"/>
      <c r="AY15" s="87"/>
      <c r="AZ15" s="87"/>
      <c r="BA15" s="87"/>
      <c r="BB15" s="87"/>
      <c r="BC15" s="87"/>
      <c r="BD15" s="87"/>
      <c r="BE15" s="87"/>
      <c r="BF15" s="87"/>
      <c r="BG15" s="87"/>
      <c r="BH15" s="88"/>
    </row>
    <row r="16" ht="18.75" customHeight="1">
      <c r="A16" s="1"/>
      <c r="B16" s="1"/>
      <c r="C16" s="1"/>
      <c r="D16" s="1"/>
      <c r="E16" s="1"/>
      <c r="F16" s="82"/>
      <c r="G16" s="1"/>
      <c r="H16" s="1"/>
      <c r="I16" s="1"/>
      <c r="J16" s="23"/>
      <c r="K16" s="87"/>
      <c r="L16" s="87"/>
      <c r="M16" s="87"/>
      <c r="N16" s="87"/>
      <c r="O16" s="87"/>
      <c r="P16" s="85" t="s">
        <v>38</v>
      </c>
      <c r="Q16" s="85" t="s">
        <v>38</v>
      </c>
      <c r="R16" s="85" t="s">
        <v>38</v>
      </c>
      <c r="S16" s="85" t="s">
        <v>38</v>
      </c>
      <c r="T16" s="85" t="s">
        <v>35</v>
      </c>
      <c r="U16" s="85" t="s">
        <v>35</v>
      </c>
      <c r="V16" s="85" t="s">
        <v>35</v>
      </c>
      <c r="W16" s="85" t="s">
        <v>35</v>
      </c>
      <c r="X16" s="85" t="s">
        <v>35</v>
      </c>
      <c r="Y16" s="85" t="s">
        <v>35</v>
      </c>
      <c r="Z16" s="85" t="s">
        <v>35</v>
      </c>
      <c r="AA16" s="85" t="s">
        <v>35</v>
      </c>
      <c r="AB16" s="85" t="s">
        <v>35</v>
      </c>
      <c r="AC16" s="85" t="s">
        <v>35</v>
      </c>
      <c r="AD16" s="85" t="s">
        <v>35</v>
      </c>
      <c r="AE16" s="85" t="s">
        <v>40</v>
      </c>
      <c r="AF16" s="85" t="s">
        <v>40</v>
      </c>
      <c r="AG16" s="85" t="s">
        <v>40</v>
      </c>
      <c r="AH16" s="85" t="s">
        <v>40</v>
      </c>
      <c r="AI16" s="85" t="s">
        <v>40</v>
      </c>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8"/>
    </row>
    <row r="17" ht="18.75" customHeight="1">
      <c r="A17" s="1"/>
      <c r="B17" s="1"/>
      <c r="C17" s="1"/>
      <c r="D17" s="1"/>
      <c r="E17" s="1"/>
      <c r="F17" s="1"/>
      <c r="G17" s="1"/>
      <c r="H17" s="1"/>
      <c r="I17" s="1"/>
      <c r="J17" s="102"/>
      <c r="K17" s="107"/>
      <c r="L17" s="107"/>
      <c r="M17" s="107"/>
      <c r="N17" s="107"/>
      <c r="O17" s="107"/>
      <c r="P17" s="107" t="s">
        <v>40</v>
      </c>
      <c r="Q17" s="107" t="s">
        <v>40</v>
      </c>
      <c r="R17" s="107" t="s">
        <v>40</v>
      </c>
      <c r="S17" s="107" t="s">
        <v>40</v>
      </c>
      <c r="T17" s="107" t="s">
        <v>40</v>
      </c>
      <c r="U17" s="107" t="s">
        <v>40</v>
      </c>
      <c r="V17" s="107" t="s">
        <v>40</v>
      </c>
      <c r="W17" s="116" t="s">
        <v>40</v>
      </c>
      <c r="X17" s="116" t="s">
        <v>25</v>
      </c>
      <c r="Y17" s="116" t="s">
        <v>25</v>
      </c>
      <c r="Z17" s="116" t="s">
        <v>25</v>
      </c>
      <c r="AA17" s="116" t="s">
        <v>25</v>
      </c>
      <c r="AB17" s="116" t="s">
        <v>25</v>
      </c>
      <c r="AC17" s="116"/>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8"/>
    </row>
    <row r="18" ht="18.75" customHeight="1">
      <c r="A18" s="1"/>
      <c r="B18" s="1"/>
      <c r="C18" s="1"/>
      <c r="D18" s="1"/>
      <c r="E18" s="1"/>
      <c r="F18" s="1"/>
      <c r="G18" s="1"/>
      <c r="H18" s="1"/>
      <c r="I18" s="1"/>
      <c r="J18" s="1"/>
      <c r="K18" s="1"/>
      <c r="L18" s="1"/>
      <c r="M18" s="1"/>
      <c r="N18" s="1"/>
      <c r="O18" s="1"/>
      <c r="Q18" s="85" t="s">
        <v>35</v>
      </c>
      <c r="R18" s="85" t="s">
        <v>35</v>
      </c>
      <c r="S18" s="85" t="s">
        <v>35</v>
      </c>
      <c r="V18" s="85" t="s">
        <v>25</v>
      </c>
      <c r="W18" s="85" t="s">
        <v>25</v>
      </c>
      <c r="X18" s="1"/>
      <c r="Y18" s="1"/>
      <c r="Z18" s="1"/>
      <c r="AA18" s="85" t="s">
        <v>53</v>
      </c>
      <c r="AB18" s="1"/>
      <c r="AC18" s="1"/>
      <c r="AD18" s="1"/>
      <c r="AE18" s="82"/>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ht="15.75" customHeight="1">
      <c r="A19" s="1"/>
      <c r="B19" s="1"/>
      <c r="C19" s="1"/>
      <c r="D19" s="1"/>
      <c r="E19" s="1"/>
      <c r="F19" s="1"/>
      <c r="G19" s="1"/>
      <c r="H19" s="1"/>
      <c r="I19" s="111" t="s">
        <v>49</v>
      </c>
      <c r="J19" s="112"/>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ht="15.75" customHeight="1">
      <c r="A20" s="1"/>
      <c r="B20" s="1"/>
      <c r="C20" s="1"/>
      <c r="D20" s="1"/>
      <c r="E20" s="1"/>
      <c r="F20" s="1"/>
      <c r="G20" s="1"/>
      <c r="H20" s="1"/>
      <c r="I20" s="113" t="s">
        <v>50</v>
      </c>
      <c r="J20" s="14"/>
      <c r="K20" s="37" t="s">
        <v>26</v>
      </c>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ht="15.75" customHeight="1">
      <c r="A21" s="1"/>
      <c r="B21" s="1"/>
      <c r="C21" s="1"/>
      <c r="D21" s="1"/>
      <c r="E21" s="1"/>
      <c r="F21" s="1"/>
      <c r="G21" s="1"/>
      <c r="H21" s="1"/>
      <c r="I21" s="114" t="s">
        <v>51</v>
      </c>
      <c r="J21" s="115"/>
      <c r="K21" s="38" t="s">
        <v>29</v>
      </c>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ht="15.75" customHeight="1">
      <c r="A22" s="1"/>
      <c r="B22" s="1"/>
      <c r="C22" s="1"/>
      <c r="D22" s="1"/>
      <c r="E22" s="1"/>
      <c r="F22" s="1"/>
      <c r="G22" s="1"/>
      <c r="H22" s="1"/>
      <c r="I22" s="117" t="s">
        <v>52</v>
      </c>
      <c r="J22" s="115"/>
      <c r="K22" s="39" t="s">
        <v>31</v>
      </c>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ht="15.75" customHeight="1">
      <c r="A23" s="1"/>
      <c r="B23" s="1"/>
      <c r="C23" s="1"/>
      <c r="D23" s="1"/>
      <c r="E23" s="1"/>
      <c r="F23" s="1"/>
      <c r="G23" s="1"/>
      <c r="H23" s="1"/>
      <c r="I23" s="118" t="s">
        <v>39</v>
      </c>
      <c r="J23" s="115"/>
      <c r="K23" s="40" t="s">
        <v>32</v>
      </c>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ht="15.75" customHeight="1">
      <c r="A24" s="1"/>
      <c r="B24" s="1"/>
      <c r="C24" s="1"/>
      <c r="D24" s="1"/>
      <c r="E24" s="1"/>
      <c r="F24" s="1"/>
      <c r="G24" s="1"/>
      <c r="H24" s="1"/>
      <c r="I24" s="113" t="s">
        <v>54</v>
      </c>
      <c r="J24" s="14"/>
      <c r="K24" s="119" t="s">
        <v>26</v>
      </c>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row>
  </sheetData>
  <mergeCells count="14">
    <mergeCell ref="J14:J17"/>
    <mergeCell ref="I19:J19"/>
    <mergeCell ref="I20:J20"/>
    <mergeCell ref="I21:J21"/>
    <mergeCell ref="I22:J22"/>
    <mergeCell ref="I23:J23"/>
    <mergeCell ref="I24:J24"/>
    <mergeCell ref="B2:H2"/>
    <mergeCell ref="B4:B5"/>
    <mergeCell ref="C4:C5"/>
    <mergeCell ref="D4:G4"/>
    <mergeCell ref="H4:H5"/>
    <mergeCell ref="J4:J5"/>
    <mergeCell ref="K4:BH4"/>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3.75"/>
    <col customWidth="1" min="9" max="9" width="10.38"/>
    <col customWidth="1" min="11" max="60" width="3.75"/>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ht="15.75" customHeight="1">
      <c r="A2" s="1"/>
      <c r="B2" s="6" t="s">
        <v>5</v>
      </c>
      <c r="C2" s="5"/>
      <c r="D2" s="5"/>
      <c r="E2" s="5"/>
      <c r="F2" s="5"/>
      <c r="G2" s="5"/>
      <c r="H2" s="5"/>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ht="15.75" customHeight="1">
      <c r="A4" s="1"/>
      <c r="B4" s="8" t="s">
        <v>6</v>
      </c>
      <c r="C4" s="9" t="s">
        <v>8</v>
      </c>
      <c r="D4" s="11" t="s">
        <v>9</v>
      </c>
      <c r="E4" s="12"/>
      <c r="F4" s="12"/>
      <c r="G4" s="14"/>
      <c r="H4" s="15" t="s">
        <v>14</v>
      </c>
      <c r="I4" s="1"/>
      <c r="J4" s="16" t="s">
        <v>15</v>
      </c>
      <c r="K4" s="17" t="s">
        <v>16</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row>
    <row r="5" ht="15.75" customHeight="1">
      <c r="A5" s="1"/>
      <c r="B5" s="18"/>
      <c r="C5" s="19"/>
      <c r="D5" s="20" t="s">
        <v>17</v>
      </c>
      <c r="E5" s="20" t="s">
        <v>18</v>
      </c>
      <c r="F5" s="20" t="s">
        <v>17</v>
      </c>
      <c r="G5" s="21" t="s">
        <v>19</v>
      </c>
      <c r="H5" s="19"/>
      <c r="I5" s="1"/>
      <c r="J5" s="23"/>
      <c r="K5" s="25">
        <v>1.0</v>
      </c>
      <c r="L5" s="25">
        <f t="shared" ref="L5:BH5" si="1">+K5+1</f>
        <v>2</v>
      </c>
      <c r="M5" s="25">
        <f t="shared" si="1"/>
        <v>3</v>
      </c>
      <c r="N5" s="25">
        <f t="shared" si="1"/>
        <v>4</v>
      </c>
      <c r="O5" s="25">
        <f t="shared" si="1"/>
        <v>5</v>
      </c>
      <c r="P5" s="25">
        <f t="shared" si="1"/>
        <v>6</v>
      </c>
      <c r="Q5" s="25">
        <f t="shared" si="1"/>
        <v>7</v>
      </c>
      <c r="R5" s="25">
        <f t="shared" si="1"/>
        <v>8</v>
      </c>
      <c r="S5" s="25">
        <f t="shared" si="1"/>
        <v>9</v>
      </c>
      <c r="T5" s="25">
        <f t="shared" si="1"/>
        <v>10</v>
      </c>
      <c r="U5" s="25">
        <f t="shared" si="1"/>
        <v>11</v>
      </c>
      <c r="V5" s="25">
        <f t="shared" si="1"/>
        <v>12</v>
      </c>
      <c r="W5" s="25">
        <f t="shared" si="1"/>
        <v>13</v>
      </c>
      <c r="X5" s="25">
        <f t="shared" si="1"/>
        <v>14</v>
      </c>
      <c r="Y5" s="25">
        <f t="shared" si="1"/>
        <v>15</v>
      </c>
      <c r="Z5" s="25">
        <f t="shared" si="1"/>
        <v>16</v>
      </c>
      <c r="AA5" s="25">
        <f t="shared" si="1"/>
        <v>17</v>
      </c>
      <c r="AB5" s="25">
        <f t="shared" si="1"/>
        <v>18</v>
      </c>
      <c r="AC5" s="25">
        <f t="shared" si="1"/>
        <v>19</v>
      </c>
      <c r="AD5" s="25">
        <f t="shared" si="1"/>
        <v>20</v>
      </c>
      <c r="AE5" s="25">
        <f t="shared" si="1"/>
        <v>21</v>
      </c>
      <c r="AF5" s="25">
        <f t="shared" si="1"/>
        <v>22</v>
      </c>
      <c r="AG5" s="25">
        <f t="shared" si="1"/>
        <v>23</v>
      </c>
      <c r="AH5" s="25">
        <f t="shared" si="1"/>
        <v>24</v>
      </c>
      <c r="AI5" s="25">
        <f t="shared" si="1"/>
        <v>25</v>
      </c>
      <c r="AJ5" s="25">
        <f t="shared" si="1"/>
        <v>26</v>
      </c>
      <c r="AK5" s="25">
        <f t="shared" si="1"/>
        <v>27</v>
      </c>
      <c r="AL5" s="25">
        <f t="shared" si="1"/>
        <v>28</v>
      </c>
      <c r="AM5" s="25">
        <f t="shared" si="1"/>
        <v>29</v>
      </c>
      <c r="AN5" s="25">
        <f t="shared" si="1"/>
        <v>30</v>
      </c>
      <c r="AO5" s="25">
        <f t="shared" si="1"/>
        <v>31</v>
      </c>
      <c r="AP5" s="25">
        <f t="shared" si="1"/>
        <v>32</v>
      </c>
      <c r="AQ5" s="25">
        <f t="shared" si="1"/>
        <v>33</v>
      </c>
      <c r="AR5" s="25">
        <f t="shared" si="1"/>
        <v>34</v>
      </c>
      <c r="AS5" s="25">
        <f t="shared" si="1"/>
        <v>35</v>
      </c>
      <c r="AT5" s="25">
        <f t="shared" si="1"/>
        <v>36</v>
      </c>
      <c r="AU5" s="25">
        <f t="shared" si="1"/>
        <v>37</v>
      </c>
      <c r="AV5" s="25">
        <f t="shared" si="1"/>
        <v>38</v>
      </c>
      <c r="AW5" s="25">
        <f t="shared" si="1"/>
        <v>39</v>
      </c>
      <c r="AX5" s="25">
        <f t="shared" si="1"/>
        <v>40</v>
      </c>
      <c r="AY5" s="25">
        <f t="shared" si="1"/>
        <v>41</v>
      </c>
      <c r="AZ5" s="25">
        <f t="shared" si="1"/>
        <v>42</v>
      </c>
      <c r="BA5" s="25">
        <f t="shared" si="1"/>
        <v>43</v>
      </c>
      <c r="BB5" s="25">
        <f t="shared" si="1"/>
        <v>44</v>
      </c>
      <c r="BC5" s="25">
        <f t="shared" si="1"/>
        <v>45</v>
      </c>
      <c r="BD5" s="25">
        <f t="shared" si="1"/>
        <v>46</v>
      </c>
      <c r="BE5" s="25">
        <f t="shared" si="1"/>
        <v>47</v>
      </c>
      <c r="BF5" s="25">
        <f t="shared" si="1"/>
        <v>48</v>
      </c>
      <c r="BG5" s="25">
        <f t="shared" si="1"/>
        <v>49</v>
      </c>
      <c r="BH5" s="31">
        <f t="shared" si="1"/>
        <v>50</v>
      </c>
    </row>
    <row r="6" ht="18.75" customHeight="1">
      <c r="A6" s="1"/>
      <c r="B6" s="29" t="s">
        <v>22</v>
      </c>
      <c r="C6" s="30" t="str">
        <f>'CONFIGURACIÓN'!I6</f>
        <v>t1</v>
      </c>
      <c r="D6" s="30">
        <f>'CONFIGURACIÓN'!J6</f>
        <v>5</v>
      </c>
      <c r="E6" s="30">
        <f>'CONFIGURACIÓN'!K6</f>
        <v>1</v>
      </c>
      <c r="F6" s="30">
        <f>'CONFIGURACIÓN'!L6</f>
        <v>5</v>
      </c>
      <c r="G6" s="33">
        <f t="shared" ref="G6:G11" si="2">IF(D6="","",D6+F6)</f>
        <v>10</v>
      </c>
      <c r="H6" s="30" t="str">
        <f>'CONFIGURACIÓN'!M6</f>
        <v>Media</v>
      </c>
      <c r="I6" s="1"/>
      <c r="J6" s="36" t="str">
        <f t="shared" ref="J6:J11" si="3">+B6</f>
        <v>P1</v>
      </c>
      <c r="K6" s="41" t="s">
        <v>26</v>
      </c>
      <c r="L6" s="42"/>
      <c r="M6" s="42"/>
      <c r="N6" s="42"/>
      <c r="O6" s="43"/>
      <c r="P6" s="44" t="s">
        <v>29</v>
      </c>
      <c r="Q6" s="42"/>
      <c r="R6" s="43"/>
      <c r="S6" s="45" t="s">
        <v>31</v>
      </c>
      <c r="T6" s="45" t="s">
        <v>31</v>
      </c>
      <c r="U6" s="45" t="s">
        <v>31</v>
      </c>
      <c r="V6" s="45" t="s">
        <v>31</v>
      </c>
      <c r="W6" s="41" t="s">
        <v>26</v>
      </c>
      <c r="X6" s="42"/>
      <c r="Y6" s="42"/>
      <c r="Z6" s="42"/>
      <c r="AA6" s="43"/>
      <c r="AB6" s="48" t="s">
        <v>39</v>
      </c>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50"/>
    </row>
    <row r="7" ht="18.75" customHeight="1">
      <c r="A7" s="1"/>
      <c r="B7" s="34" t="s">
        <v>25</v>
      </c>
      <c r="C7" s="35" t="str">
        <f>'CONFIGURACIÓN'!I7</f>
        <v>t2</v>
      </c>
      <c r="D7" s="35">
        <f>'CONFIGURACIÓN'!J7</f>
        <v>5</v>
      </c>
      <c r="E7" s="35">
        <f>'CONFIGURACIÓN'!K7</f>
        <v>3</v>
      </c>
      <c r="F7" s="35">
        <f>'CONFIGURACIÓN'!L7</f>
        <v>2</v>
      </c>
      <c r="G7" s="49">
        <f t="shared" si="2"/>
        <v>7</v>
      </c>
      <c r="H7" s="35" t="str">
        <f>'CONFIGURACIÓN'!M7</f>
        <v>Baja</v>
      </c>
      <c r="I7" s="1"/>
      <c r="J7" s="51" t="str">
        <f t="shared" si="3"/>
        <v>P2</v>
      </c>
      <c r="K7" s="53"/>
      <c r="L7" s="54" t="s">
        <v>31</v>
      </c>
      <c r="M7" s="54" t="s">
        <v>31</v>
      </c>
      <c r="N7" s="54" t="s">
        <v>31</v>
      </c>
      <c r="O7" s="54" t="s">
        <v>31</v>
      </c>
      <c r="P7" s="54" t="s">
        <v>31</v>
      </c>
      <c r="Q7" s="54" t="s">
        <v>31</v>
      </c>
      <c r="R7" s="54" t="s">
        <v>31</v>
      </c>
      <c r="S7" s="54" t="s">
        <v>31</v>
      </c>
      <c r="T7" s="54" t="s">
        <v>31</v>
      </c>
      <c r="U7" s="54" t="s">
        <v>31</v>
      </c>
      <c r="V7" s="54" t="s">
        <v>31</v>
      </c>
      <c r="W7" s="54" t="s">
        <v>31</v>
      </c>
      <c r="X7" s="54" t="s">
        <v>31</v>
      </c>
      <c r="Y7" s="54" t="s">
        <v>31</v>
      </c>
      <c r="Z7" s="54" t="s">
        <v>31</v>
      </c>
      <c r="AA7" s="54" t="s">
        <v>31</v>
      </c>
      <c r="AB7" s="54" t="s">
        <v>31</v>
      </c>
      <c r="AC7" s="55" t="s">
        <v>26</v>
      </c>
      <c r="AD7" s="12"/>
      <c r="AE7" s="12"/>
      <c r="AF7" s="12"/>
      <c r="AG7" s="14"/>
      <c r="AH7" s="57" t="s">
        <v>29</v>
      </c>
      <c r="AI7" s="12"/>
      <c r="AJ7" s="14"/>
      <c r="AK7" s="54" t="s">
        <v>31</v>
      </c>
      <c r="AL7" s="54" t="s">
        <v>31</v>
      </c>
      <c r="AM7" s="54" t="s">
        <v>31</v>
      </c>
      <c r="AN7" s="54" t="s">
        <v>31</v>
      </c>
      <c r="AO7" s="54" t="s">
        <v>31</v>
      </c>
      <c r="AP7" s="54" t="s">
        <v>31</v>
      </c>
      <c r="AQ7" s="54" t="s">
        <v>31</v>
      </c>
      <c r="AR7" s="54" t="s">
        <v>31</v>
      </c>
      <c r="AS7" s="54" t="s">
        <v>31</v>
      </c>
      <c r="AT7" s="54" t="s">
        <v>31</v>
      </c>
      <c r="AU7" s="54" t="s">
        <v>31</v>
      </c>
      <c r="AV7" s="55" t="s">
        <v>26</v>
      </c>
      <c r="AW7" s="14"/>
      <c r="AX7" s="58" t="s">
        <v>39</v>
      </c>
      <c r="AY7" s="12"/>
      <c r="AZ7" s="12"/>
      <c r="BA7" s="12"/>
      <c r="BB7" s="12"/>
      <c r="BC7" s="12"/>
      <c r="BD7" s="12"/>
      <c r="BE7" s="12"/>
      <c r="BF7" s="12"/>
      <c r="BG7" s="12"/>
      <c r="BH7" s="59"/>
    </row>
    <row r="8" ht="18.75" customHeight="1">
      <c r="A8" s="1"/>
      <c r="B8" s="29" t="s">
        <v>30</v>
      </c>
      <c r="C8" s="30" t="str">
        <f>'CONFIGURACIÓN'!I8</f>
        <v>t6</v>
      </c>
      <c r="D8" s="30">
        <f>'CONFIGURACIÓN'!J8</f>
        <v>5</v>
      </c>
      <c r="E8" s="30">
        <f>'CONFIGURACIÓN'!K8</f>
        <v>3</v>
      </c>
      <c r="F8" s="30">
        <f>'CONFIGURACIÓN'!L8</f>
        <v>4</v>
      </c>
      <c r="G8" s="33">
        <f t="shared" si="2"/>
        <v>9</v>
      </c>
      <c r="H8" s="30" t="str">
        <f>'CONFIGURACIÓN'!M8</f>
        <v>Baja</v>
      </c>
      <c r="I8" s="1"/>
      <c r="J8" s="56" t="str">
        <f t="shared" si="3"/>
        <v>P3</v>
      </c>
      <c r="K8" s="53"/>
      <c r="L8" s="53"/>
      <c r="M8" s="53"/>
      <c r="N8" s="53"/>
      <c r="O8" s="53"/>
      <c r="P8" s="54" t="s">
        <v>31</v>
      </c>
      <c r="Q8" s="54" t="s">
        <v>31</v>
      </c>
      <c r="R8" s="54" t="s">
        <v>31</v>
      </c>
      <c r="S8" s="54" t="s">
        <v>31</v>
      </c>
      <c r="T8" s="54" t="s">
        <v>31</v>
      </c>
      <c r="U8" s="54" t="s">
        <v>31</v>
      </c>
      <c r="V8" s="54" t="s">
        <v>31</v>
      </c>
      <c r="W8" s="54" t="s">
        <v>31</v>
      </c>
      <c r="X8" s="54" t="s">
        <v>31</v>
      </c>
      <c r="Y8" s="54" t="s">
        <v>31</v>
      </c>
      <c r="Z8" s="54" t="s">
        <v>31</v>
      </c>
      <c r="AA8" s="54" t="s">
        <v>31</v>
      </c>
      <c r="AB8" s="54" t="s">
        <v>31</v>
      </c>
      <c r="AC8" s="54" t="s">
        <v>31</v>
      </c>
      <c r="AD8" s="54" t="s">
        <v>31</v>
      </c>
      <c r="AE8" s="54" t="s">
        <v>31</v>
      </c>
      <c r="AF8" s="54" t="s">
        <v>31</v>
      </c>
      <c r="AG8" s="54" t="s">
        <v>31</v>
      </c>
      <c r="AH8" s="55" t="s">
        <v>26</v>
      </c>
      <c r="AI8" s="12"/>
      <c r="AJ8" s="12"/>
      <c r="AK8" s="12"/>
      <c r="AL8" s="14"/>
      <c r="AM8" s="57" t="s">
        <v>29</v>
      </c>
      <c r="AN8" s="12"/>
      <c r="AO8" s="14"/>
      <c r="AP8" s="54" t="s">
        <v>31</v>
      </c>
      <c r="AQ8" s="54" t="s">
        <v>31</v>
      </c>
      <c r="AR8" s="54" t="s">
        <v>31</v>
      </c>
      <c r="AS8" s="54" t="s">
        <v>31</v>
      </c>
      <c r="AT8" s="54" t="s">
        <v>31</v>
      </c>
      <c r="AU8" s="54" t="s">
        <v>31</v>
      </c>
      <c r="AV8" s="54" t="s">
        <v>31</v>
      </c>
      <c r="AW8" s="54" t="s">
        <v>31</v>
      </c>
      <c r="AX8" s="55" t="s">
        <v>26</v>
      </c>
      <c r="AY8" s="12"/>
      <c r="AZ8" s="12"/>
      <c r="BA8" s="14"/>
      <c r="BB8" s="58" t="s">
        <v>39</v>
      </c>
      <c r="BC8" s="12"/>
      <c r="BD8" s="12"/>
      <c r="BE8" s="12"/>
      <c r="BF8" s="12"/>
      <c r="BG8" s="12"/>
      <c r="BH8" s="59"/>
    </row>
    <row r="9" ht="18.75" customHeight="1">
      <c r="A9" s="1"/>
      <c r="B9" s="34" t="s">
        <v>35</v>
      </c>
      <c r="C9" s="35" t="str">
        <f>'CONFIGURACIÓN'!I9</f>
        <v>t1</v>
      </c>
      <c r="D9" s="35">
        <f>'CONFIGURACIÓN'!J9</f>
        <v>3</v>
      </c>
      <c r="E9" s="35">
        <f>'CONFIGURACIÓN'!K9</f>
        <v>3</v>
      </c>
      <c r="F9" s="35">
        <f>'CONFIGURACIÓN'!L9</f>
        <v>5</v>
      </c>
      <c r="G9" s="49">
        <f t="shared" si="2"/>
        <v>8</v>
      </c>
      <c r="H9" s="35" t="str">
        <f>'CONFIGURACIÓN'!M9</f>
        <v>Baja</v>
      </c>
      <c r="I9" s="1"/>
      <c r="J9" s="51" t="str">
        <f t="shared" si="3"/>
        <v>P4</v>
      </c>
      <c r="K9" s="54" t="s">
        <v>31</v>
      </c>
      <c r="L9" s="54" t="s">
        <v>31</v>
      </c>
      <c r="M9" s="54" t="s">
        <v>31</v>
      </c>
      <c r="N9" s="54" t="s">
        <v>31</v>
      </c>
      <c r="O9" s="54" t="s">
        <v>31</v>
      </c>
      <c r="P9" s="55" t="s">
        <v>26</v>
      </c>
      <c r="Q9" s="12"/>
      <c r="R9" s="14"/>
      <c r="S9" s="57" t="s">
        <v>29</v>
      </c>
      <c r="T9" s="12"/>
      <c r="U9" s="14"/>
      <c r="V9" s="54" t="s">
        <v>31</v>
      </c>
      <c r="W9" s="54" t="s">
        <v>31</v>
      </c>
      <c r="X9" s="54" t="s">
        <v>31</v>
      </c>
      <c r="Y9" s="54" t="s">
        <v>31</v>
      </c>
      <c r="Z9" s="54" t="s">
        <v>31</v>
      </c>
      <c r="AA9" s="54" t="s">
        <v>31</v>
      </c>
      <c r="AB9" s="54" t="s">
        <v>31</v>
      </c>
      <c r="AC9" s="54" t="s">
        <v>31</v>
      </c>
      <c r="AD9" s="54" t="s">
        <v>31</v>
      </c>
      <c r="AE9" s="54" t="s">
        <v>31</v>
      </c>
      <c r="AF9" s="54" t="s">
        <v>31</v>
      </c>
      <c r="AG9" s="54" t="s">
        <v>31</v>
      </c>
      <c r="AH9" s="54" t="s">
        <v>31</v>
      </c>
      <c r="AI9" s="54" t="s">
        <v>31</v>
      </c>
      <c r="AJ9" s="54" t="s">
        <v>31</v>
      </c>
      <c r="AK9" s="54" t="s">
        <v>31</v>
      </c>
      <c r="AL9" s="54" t="s">
        <v>31</v>
      </c>
      <c r="AM9" s="54" t="s">
        <v>31</v>
      </c>
      <c r="AN9" s="54" t="s">
        <v>31</v>
      </c>
      <c r="AO9" s="54" t="s">
        <v>31</v>
      </c>
      <c r="AP9" s="54" t="s">
        <v>31</v>
      </c>
      <c r="AQ9" s="55" t="s">
        <v>26</v>
      </c>
      <c r="AR9" s="12"/>
      <c r="AS9" s="12"/>
      <c r="AT9" s="12"/>
      <c r="AU9" s="14"/>
      <c r="AV9" s="58" t="s">
        <v>39</v>
      </c>
      <c r="AW9" s="12"/>
      <c r="AX9" s="12"/>
      <c r="AY9" s="12"/>
      <c r="AZ9" s="12"/>
      <c r="BA9" s="12"/>
      <c r="BB9" s="12"/>
      <c r="BC9" s="12"/>
      <c r="BD9" s="12"/>
      <c r="BE9" s="12"/>
      <c r="BF9" s="12"/>
      <c r="BG9" s="12"/>
      <c r="BH9" s="59"/>
    </row>
    <row r="10" ht="18.75" customHeight="1">
      <c r="A10" s="1"/>
      <c r="B10" s="29" t="s">
        <v>38</v>
      </c>
      <c r="C10" s="30" t="str">
        <f>'CONFIGURACIÓN'!I10</f>
        <v>t6</v>
      </c>
      <c r="D10" s="30">
        <f>'CONFIGURACIÓN'!J10</f>
        <v>4</v>
      </c>
      <c r="E10" s="30">
        <f>'CONFIGURACIÓN'!K10</f>
        <v>4</v>
      </c>
      <c r="F10" s="30">
        <f>'CONFIGURACIÓN'!L10</f>
        <v>1</v>
      </c>
      <c r="G10" s="33">
        <f t="shared" si="2"/>
        <v>5</v>
      </c>
      <c r="H10" s="30" t="str">
        <f>'CONFIGURACIÓN'!M10</f>
        <v>Media</v>
      </c>
      <c r="I10" s="1"/>
      <c r="J10" s="56" t="str">
        <f t="shared" si="3"/>
        <v>P5</v>
      </c>
      <c r="K10" s="53"/>
      <c r="L10" s="53"/>
      <c r="M10" s="53"/>
      <c r="N10" s="53"/>
      <c r="O10" s="53"/>
      <c r="P10" s="54" t="s">
        <v>31</v>
      </c>
      <c r="Q10" s="54" t="s">
        <v>31</v>
      </c>
      <c r="R10" s="54" t="s">
        <v>31</v>
      </c>
      <c r="S10" s="55" t="s">
        <v>26</v>
      </c>
      <c r="T10" s="12"/>
      <c r="U10" s="12"/>
      <c r="V10" s="14"/>
      <c r="W10" s="57" t="s">
        <v>29</v>
      </c>
      <c r="X10" s="12"/>
      <c r="Y10" s="12"/>
      <c r="Z10" s="14"/>
      <c r="AA10" s="54" t="s">
        <v>31</v>
      </c>
      <c r="AB10" s="65" t="s">
        <v>26</v>
      </c>
      <c r="AC10" s="58" t="s">
        <v>39</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59"/>
    </row>
    <row r="11" ht="18.75" customHeight="1">
      <c r="A11" s="1"/>
      <c r="B11" s="34" t="s">
        <v>40</v>
      </c>
      <c r="C11" s="35" t="str">
        <f>'CONFIGURACIÓN'!I11</f>
        <v>t6</v>
      </c>
      <c r="D11" s="35">
        <f>'CONFIGURACIÓN'!J11</f>
        <v>4</v>
      </c>
      <c r="E11" s="35">
        <f>'CONFIGURACIÓN'!K11</f>
        <v>4</v>
      </c>
      <c r="F11" s="35">
        <f>'CONFIGURACIÓN'!L11</f>
        <v>1</v>
      </c>
      <c r="G11" s="49">
        <f t="shared" si="2"/>
        <v>5</v>
      </c>
      <c r="H11" s="35" t="str">
        <f>'CONFIGURACIÓN'!M11</f>
        <v>Baja</v>
      </c>
      <c r="I11" s="1"/>
      <c r="J11" s="67" t="str">
        <f t="shared" si="3"/>
        <v>P6</v>
      </c>
      <c r="K11" s="69"/>
      <c r="L11" s="69"/>
      <c r="M11" s="69"/>
      <c r="N11" s="69"/>
      <c r="O11" s="69"/>
      <c r="P11" s="54" t="s">
        <v>31</v>
      </c>
      <c r="Q11" s="54" t="s">
        <v>31</v>
      </c>
      <c r="R11" s="54" t="s">
        <v>31</v>
      </c>
      <c r="S11" s="54" t="s">
        <v>31</v>
      </c>
      <c r="T11" s="54" t="s">
        <v>31</v>
      </c>
      <c r="U11" s="54" t="s">
        <v>31</v>
      </c>
      <c r="V11" s="54" t="s">
        <v>31</v>
      </c>
      <c r="W11" s="54" t="s">
        <v>31</v>
      </c>
      <c r="X11" s="54" t="s">
        <v>31</v>
      </c>
      <c r="Y11" s="54" t="s">
        <v>31</v>
      </c>
      <c r="Z11" s="54" t="s">
        <v>31</v>
      </c>
      <c r="AA11" s="54" t="s">
        <v>31</v>
      </c>
      <c r="AB11" s="54" t="s">
        <v>31</v>
      </c>
      <c r="AC11" s="54" t="s">
        <v>31</v>
      </c>
      <c r="AD11" s="54" t="s">
        <v>31</v>
      </c>
      <c r="AE11" s="54" t="s">
        <v>31</v>
      </c>
      <c r="AF11" s="54" t="s">
        <v>31</v>
      </c>
      <c r="AG11" s="54" t="s">
        <v>31</v>
      </c>
      <c r="AH11" s="54" t="s">
        <v>31</v>
      </c>
      <c r="AI11" s="54" t="s">
        <v>31</v>
      </c>
      <c r="AJ11" s="54" t="s">
        <v>31</v>
      </c>
      <c r="AK11" s="54" t="s">
        <v>31</v>
      </c>
      <c r="AL11" s="54" t="s">
        <v>31</v>
      </c>
      <c r="AM11" s="71" t="s">
        <v>26</v>
      </c>
      <c r="AN11" s="73"/>
      <c r="AO11" s="73"/>
      <c r="AP11" s="74"/>
      <c r="AQ11" s="76" t="s">
        <v>29</v>
      </c>
      <c r="AR11" s="73"/>
      <c r="AS11" s="73"/>
      <c r="AT11" s="74"/>
      <c r="AU11" s="54" t="s">
        <v>31</v>
      </c>
      <c r="AV11" s="54" t="s">
        <v>31</v>
      </c>
      <c r="AW11" s="54" t="s">
        <v>31</v>
      </c>
      <c r="AX11" s="54" t="s">
        <v>31</v>
      </c>
      <c r="AY11" s="54" t="s">
        <v>31</v>
      </c>
      <c r="AZ11" s="54" t="s">
        <v>31</v>
      </c>
      <c r="BA11" s="54" t="s">
        <v>31</v>
      </c>
      <c r="BB11" s="77" t="s">
        <v>26</v>
      </c>
      <c r="BC11" s="78" t="s">
        <v>39</v>
      </c>
      <c r="BD11" s="73"/>
      <c r="BE11" s="73"/>
      <c r="BF11" s="73"/>
      <c r="BG11" s="73"/>
      <c r="BH11" s="79"/>
    </row>
    <row r="12" ht="18.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ht="18.75" customHeight="1">
      <c r="A13" s="1"/>
      <c r="B13" s="82" t="s">
        <v>44</v>
      </c>
      <c r="J13" s="84" t="s">
        <v>42</v>
      </c>
      <c r="K13" s="86" t="s">
        <v>22</v>
      </c>
      <c r="L13" s="75" t="s">
        <v>22</v>
      </c>
      <c r="M13" s="75" t="s">
        <v>22</v>
      </c>
      <c r="N13" s="75" t="s">
        <v>22</v>
      </c>
      <c r="O13" s="75" t="s">
        <v>22</v>
      </c>
      <c r="P13" s="75" t="s">
        <v>35</v>
      </c>
      <c r="Q13" s="75" t="s">
        <v>35</v>
      </c>
      <c r="R13" s="75" t="s">
        <v>35</v>
      </c>
      <c r="S13" s="75" t="s">
        <v>38</v>
      </c>
      <c r="T13" s="75" t="s">
        <v>38</v>
      </c>
      <c r="U13" s="75" t="s">
        <v>38</v>
      </c>
      <c r="V13" s="75" t="s">
        <v>38</v>
      </c>
      <c r="W13" s="75" t="s">
        <v>22</v>
      </c>
      <c r="X13" s="75" t="s">
        <v>22</v>
      </c>
      <c r="Y13" s="75" t="s">
        <v>22</v>
      </c>
      <c r="Z13" s="75" t="s">
        <v>22</v>
      </c>
      <c r="AA13" s="75" t="s">
        <v>22</v>
      </c>
      <c r="AB13" s="75" t="s">
        <v>38</v>
      </c>
      <c r="AC13" s="75" t="s">
        <v>25</v>
      </c>
      <c r="AD13" s="75" t="s">
        <v>25</v>
      </c>
      <c r="AE13" s="75" t="s">
        <v>25</v>
      </c>
      <c r="AF13" s="75" t="s">
        <v>25</v>
      </c>
      <c r="AG13" s="75" t="s">
        <v>25</v>
      </c>
      <c r="AH13" s="75" t="s">
        <v>30</v>
      </c>
      <c r="AI13" s="75" t="s">
        <v>30</v>
      </c>
      <c r="AJ13" s="75" t="s">
        <v>30</v>
      </c>
      <c r="AK13" s="75" t="s">
        <v>30</v>
      </c>
      <c r="AL13" s="75" t="s">
        <v>30</v>
      </c>
      <c r="AM13" s="75" t="s">
        <v>40</v>
      </c>
      <c r="AN13" s="75" t="s">
        <v>40</v>
      </c>
      <c r="AO13" s="75" t="s">
        <v>40</v>
      </c>
      <c r="AP13" s="75" t="s">
        <v>40</v>
      </c>
      <c r="AQ13" s="75" t="s">
        <v>35</v>
      </c>
      <c r="AR13" s="75" t="s">
        <v>35</v>
      </c>
      <c r="AS13" s="75" t="s">
        <v>35</v>
      </c>
      <c r="AT13" s="75" t="s">
        <v>35</v>
      </c>
      <c r="AU13" s="75" t="s">
        <v>35</v>
      </c>
      <c r="AV13" s="75" t="s">
        <v>25</v>
      </c>
      <c r="AW13" s="75" t="s">
        <v>25</v>
      </c>
      <c r="AX13" s="75" t="s">
        <v>30</v>
      </c>
      <c r="AY13" s="75" t="s">
        <v>30</v>
      </c>
      <c r="AZ13" s="75" t="s">
        <v>30</v>
      </c>
      <c r="BA13" s="75" t="s">
        <v>30</v>
      </c>
      <c r="BB13" s="75" t="s">
        <v>40</v>
      </c>
      <c r="BC13" s="80"/>
      <c r="BD13" s="80"/>
      <c r="BE13" s="80"/>
      <c r="BF13" s="80"/>
      <c r="BG13" s="80"/>
      <c r="BH13" s="81"/>
    </row>
    <row r="14" ht="18.75" customHeight="1">
      <c r="A14" s="1"/>
      <c r="B14" s="82" t="s">
        <v>45</v>
      </c>
      <c r="I14" s="1"/>
      <c r="J14" s="90" t="s">
        <v>43</v>
      </c>
      <c r="K14" s="91" t="s">
        <v>35</v>
      </c>
      <c r="L14" s="92" t="s">
        <v>35</v>
      </c>
      <c r="M14" s="92" t="s">
        <v>35</v>
      </c>
      <c r="N14" s="92" t="s">
        <v>35</v>
      </c>
      <c r="O14" s="92" t="s">
        <v>35</v>
      </c>
      <c r="P14" s="92" t="s">
        <v>38</v>
      </c>
      <c r="Q14" s="92" t="s">
        <v>38</v>
      </c>
      <c r="R14" s="92" t="s">
        <v>38</v>
      </c>
      <c r="S14" s="92" t="s">
        <v>22</v>
      </c>
      <c r="T14" s="92" t="s">
        <v>22</v>
      </c>
      <c r="U14" s="92" t="s">
        <v>22</v>
      </c>
      <c r="V14" s="92" t="s">
        <v>22</v>
      </c>
      <c r="W14" s="92" t="s">
        <v>25</v>
      </c>
      <c r="X14" s="92" t="s">
        <v>25</v>
      </c>
      <c r="Y14" s="92" t="s">
        <v>25</v>
      </c>
      <c r="Z14" s="92" t="s">
        <v>25</v>
      </c>
      <c r="AA14" s="92" t="s">
        <v>38</v>
      </c>
      <c r="AB14" s="92" t="s">
        <v>25</v>
      </c>
      <c r="AC14" s="92" t="s">
        <v>30</v>
      </c>
      <c r="AD14" s="92" t="s">
        <v>30</v>
      </c>
      <c r="AE14" s="92" t="s">
        <v>30</v>
      </c>
      <c r="AF14" s="92" t="s">
        <v>30</v>
      </c>
      <c r="AG14" s="92" t="s">
        <v>30</v>
      </c>
      <c r="AH14" s="92" t="s">
        <v>40</v>
      </c>
      <c r="AI14" s="92" t="s">
        <v>40</v>
      </c>
      <c r="AJ14" s="92" t="s">
        <v>40</v>
      </c>
      <c r="AK14" s="92" t="s">
        <v>40</v>
      </c>
      <c r="AL14" s="92" t="s">
        <v>40</v>
      </c>
      <c r="AM14" s="92" t="s">
        <v>35</v>
      </c>
      <c r="AN14" s="92" t="s">
        <v>35</v>
      </c>
      <c r="AO14" s="92" t="s">
        <v>35</v>
      </c>
      <c r="AP14" s="92" t="s">
        <v>35</v>
      </c>
      <c r="AQ14" s="92" t="s">
        <v>25</v>
      </c>
      <c r="AR14" s="92" t="s">
        <v>25</v>
      </c>
      <c r="AS14" s="92" t="s">
        <v>25</v>
      </c>
      <c r="AT14" s="92" t="s">
        <v>25</v>
      </c>
      <c r="AU14" s="92" t="s">
        <v>25</v>
      </c>
      <c r="AV14" s="92" t="s">
        <v>30</v>
      </c>
      <c r="AW14" s="92" t="s">
        <v>30</v>
      </c>
      <c r="AX14" s="92" t="s">
        <v>40</v>
      </c>
      <c r="AY14" s="92" t="s">
        <v>40</v>
      </c>
      <c r="AZ14" s="92" t="s">
        <v>40</v>
      </c>
      <c r="BA14" s="92" t="s">
        <v>40</v>
      </c>
      <c r="BB14" s="94"/>
      <c r="BC14" s="87"/>
      <c r="BD14" s="87"/>
      <c r="BE14" s="87"/>
      <c r="BF14" s="87"/>
      <c r="BG14" s="87"/>
      <c r="BH14" s="88"/>
    </row>
    <row r="15" ht="18.75" customHeight="1">
      <c r="A15" s="1"/>
      <c r="B15" s="82" t="s">
        <v>46</v>
      </c>
      <c r="I15" s="1"/>
      <c r="J15" s="23"/>
      <c r="K15" s="91"/>
      <c r="L15" s="92" t="s">
        <v>25</v>
      </c>
      <c r="M15" s="92" t="s">
        <v>25</v>
      </c>
      <c r="N15" s="92" t="s">
        <v>25</v>
      </c>
      <c r="O15" s="92" t="s">
        <v>25</v>
      </c>
      <c r="P15" s="92" t="s">
        <v>25</v>
      </c>
      <c r="Q15" s="92" t="s">
        <v>25</v>
      </c>
      <c r="R15" s="92" t="s">
        <v>25</v>
      </c>
      <c r="S15" s="92" t="s">
        <v>25</v>
      </c>
      <c r="T15" s="92" t="s">
        <v>25</v>
      </c>
      <c r="U15" s="92" t="s">
        <v>25</v>
      </c>
      <c r="V15" s="92" t="s">
        <v>25</v>
      </c>
      <c r="W15" s="92" t="s">
        <v>30</v>
      </c>
      <c r="X15" s="92" t="s">
        <v>30</v>
      </c>
      <c r="Y15" s="92" t="s">
        <v>30</v>
      </c>
      <c r="Z15" s="92" t="s">
        <v>30</v>
      </c>
      <c r="AA15" s="92" t="s">
        <v>25</v>
      </c>
      <c r="AB15" s="92" t="s">
        <v>30</v>
      </c>
      <c r="AC15" s="92" t="s">
        <v>40</v>
      </c>
      <c r="AD15" s="92" t="s">
        <v>40</v>
      </c>
      <c r="AE15" s="92" t="s">
        <v>40</v>
      </c>
      <c r="AF15" s="92" t="s">
        <v>40</v>
      </c>
      <c r="AG15" s="92" t="s">
        <v>40</v>
      </c>
      <c r="AH15" s="92" t="s">
        <v>35</v>
      </c>
      <c r="AI15" s="92" t="s">
        <v>35</v>
      </c>
      <c r="AJ15" s="92" t="s">
        <v>35</v>
      </c>
      <c r="AK15" s="92" t="s">
        <v>35</v>
      </c>
      <c r="AL15" s="92" t="s">
        <v>35</v>
      </c>
      <c r="AM15" s="92" t="s">
        <v>25</v>
      </c>
      <c r="AN15" s="92" t="s">
        <v>25</v>
      </c>
      <c r="AO15" s="92" t="s">
        <v>25</v>
      </c>
      <c r="AP15" s="92" t="s">
        <v>25</v>
      </c>
      <c r="AQ15" s="92" t="s">
        <v>30</v>
      </c>
      <c r="AR15" s="92" t="s">
        <v>30</v>
      </c>
      <c r="AS15" s="92" t="s">
        <v>30</v>
      </c>
      <c r="AT15" s="92" t="s">
        <v>30</v>
      </c>
      <c r="AU15" s="92" t="s">
        <v>30</v>
      </c>
      <c r="AV15" s="92" t="s">
        <v>40</v>
      </c>
      <c r="AW15" s="92" t="s">
        <v>40</v>
      </c>
      <c r="AX15" s="94"/>
      <c r="AY15" s="94"/>
      <c r="AZ15" s="94"/>
      <c r="BA15" s="94"/>
      <c r="BB15" s="94"/>
      <c r="BC15" s="87"/>
      <c r="BD15" s="87"/>
      <c r="BE15" s="87"/>
      <c r="BF15" s="87"/>
      <c r="BG15" s="87"/>
      <c r="BH15" s="88"/>
    </row>
    <row r="16" ht="18.75" customHeight="1">
      <c r="A16" s="1"/>
      <c r="B16" s="1"/>
      <c r="C16" s="1"/>
      <c r="D16" s="1"/>
      <c r="E16" s="1"/>
      <c r="F16" s="1"/>
      <c r="G16" s="1"/>
      <c r="H16" s="1"/>
      <c r="I16" s="1"/>
      <c r="J16" s="23"/>
      <c r="K16" s="91"/>
      <c r="L16" s="92"/>
      <c r="M16" s="94"/>
      <c r="N16" s="94"/>
      <c r="O16" s="94"/>
      <c r="P16" s="92" t="s">
        <v>30</v>
      </c>
      <c r="Q16" s="92" t="s">
        <v>30</v>
      </c>
      <c r="R16" s="92" t="s">
        <v>30</v>
      </c>
      <c r="S16" s="92" t="s">
        <v>30</v>
      </c>
      <c r="T16" s="92" t="s">
        <v>30</v>
      </c>
      <c r="U16" s="92" t="s">
        <v>30</v>
      </c>
      <c r="V16" s="92" t="s">
        <v>30</v>
      </c>
      <c r="W16" s="92" t="s">
        <v>40</v>
      </c>
      <c r="X16" s="92" t="s">
        <v>40</v>
      </c>
      <c r="Y16" s="92" t="s">
        <v>40</v>
      </c>
      <c r="Z16" s="92" t="s">
        <v>40</v>
      </c>
      <c r="AA16" s="92" t="s">
        <v>30</v>
      </c>
      <c r="AB16" s="92" t="s">
        <v>40</v>
      </c>
      <c r="AC16" s="92" t="s">
        <v>35</v>
      </c>
      <c r="AD16" s="92" t="s">
        <v>35</v>
      </c>
      <c r="AE16" s="92" t="s">
        <v>35</v>
      </c>
      <c r="AF16" s="92" t="s">
        <v>35</v>
      </c>
      <c r="AG16" s="92" t="s">
        <v>35</v>
      </c>
      <c r="AH16" s="94"/>
      <c r="AI16" s="94"/>
      <c r="AJ16" s="94"/>
      <c r="AK16" s="92" t="s">
        <v>25</v>
      </c>
      <c r="AL16" s="92" t="s">
        <v>25</v>
      </c>
      <c r="AM16" s="94"/>
      <c r="AN16" s="94"/>
      <c r="AO16" s="94"/>
      <c r="AP16" s="92" t="s">
        <v>30</v>
      </c>
      <c r="AQ16" s="94"/>
      <c r="AR16" s="94"/>
      <c r="AS16" s="94"/>
      <c r="AT16" s="94"/>
      <c r="AU16" s="92" t="s">
        <v>40</v>
      </c>
      <c r="AV16" s="94"/>
      <c r="AW16" s="94"/>
      <c r="AX16" s="94"/>
      <c r="AY16" s="94"/>
      <c r="AZ16" s="94"/>
      <c r="BA16" s="94"/>
      <c r="BB16" s="94"/>
      <c r="BC16" s="87"/>
      <c r="BD16" s="87"/>
      <c r="BE16" s="87"/>
      <c r="BF16" s="87"/>
      <c r="BG16" s="87"/>
      <c r="BH16" s="88"/>
    </row>
    <row r="17" ht="18.75" customHeight="1">
      <c r="A17" s="1"/>
      <c r="B17" s="1"/>
      <c r="C17" s="1"/>
      <c r="D17" s="1"/>
      <c r="E17" s="1"/>
      <c r="F17" s="1"/>
      <c r="G17" s="1"/>
      <c r="H17" s="1"/>
      <c r="I17" s="1"/>
      <c r="J17" s="23"/>
      <c r="K17" s="91"/>
      <c r="L17" s="92"/>
      <c r="M17" s="92"/>
      <c r="N17" s="92"/>
      <c r="O17" s="92"/>
      <c r="P17" s="92" t="s">
        <v>40</v>
      </c>
      <c r="Q17" s="92" t="s">
        <v>40</v>
      </c>
      <c r="R17" s="92" t="s">
        <v>40</v>
      </c>
      <c r="S17" s="92" t="s">
        <v>40</v>
      </c>
      <c r="T17" s="92" t="s">
        <v>40</v>
      </c>
      <c r="U17" s="92" t="s">
        <v>40</v>
      </c>
      <c r="V17" s="92" t="s">
        <v>40</v>
      </c>
      <c r="W17" s="92" t="s">
        <v>35</v>
      </c>
      <c r="X17" s="92" t="s">
        <v>35</v>
      </c>
      <c r="Y17" s="92" t="s">
        <v>35</v>
      </c>
      <c r="Z17" s="92" t="s">
        <v>35</v>
      </c>
      <c r="AA17" s="92" t="s">
        <v>40</v>
      </c>
      <c r="AB17" s="92" t="s">
        <v>35</v>
      </c>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85"/>
      <c r="BD17" s="85"/>
      <c r="BE17" s="85"/>
      <c r="BF17" s="85"/>
      <c r="BG17" s="85"/>
      <c r="BH17" s="85"/>
    </row>
    <row r="18" ht="18.75" customHeight="1">
      <c r="A18" s="1"/>
      <c r="B18" s="1"/>
      <c r="C18" s="1"/>
      <c r="D18" s="1"/>
      <c r="E18" s="1"/>
      <c r="F18" s="1"/>
      <c r="G18" s="1"/>
      <c r="H18" s="1"/>
      <c r="I18" s="1"/>
      <c r="J18" s="102"/>
      <c r="K18" s="103"/>
      <c r="L18" s="104"/>
      <c r="M18" s="104"/>
      <c r="N18" s="104"/>
      <c r="O18" s="104"/>
      <c r="P18" s="105"/>
      <c r="Q18" s="105"/>
      <c r="R18" s="105"/>
      <c r="S18" s="105"/>
      <c r="T18" s="105"/>
      <c r="U18" s="104"/>
      <c r="V18" s="105" t="s">
        <v>35</v>
      </c>
      <c r="W18" s="104"/>
      <c r="X18" s="104"/>
      <c r="Y18" s="104"/>
      <c r="Z18" s="104"/>
      <c r="AA18" s="105" t="s">
        <v>35</v>
      </c>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7"/>
      <c r="BD18" s="107"/>
      <c r="BE18" s="107"/>
      <c r="BF18" s="107"/>
      <c r="BG18" s="107"/>
      <c r="BH18" s="108"/>
    </row>
    <row r="19" ht="15.75" customHeight="1">
      <c r="A19" s="1"/>
      <c r="B19" s="1"/>
      <c r="C19" s="1"/>
      <c r="D19" s="1"/>
      <c r="E19" s="1"/>
      <c r="F19" s="1"/>
      <c r="G19" s="1"/>
      <c r="H19" s="1"/>
      <c r="I19" s="110"/>
      <c r="J19" s="110"/>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ht="15.75" customHeight="1">
      <c r="A20" s="1"/>
      <c r="B20" s="1"/>
      <c r="C20" s="1"/>
      <c r="D20" s="1"/>
      <c r="E20" s="1"/>
      <c r="F20" s="1"/>
      <c r="G20" s="1"/>
      <c r="H20" s="1"/>
      <c r="I20" s="111" t="s">
        <v>49</v>
      </c>
      <c r="J20" s="112"/>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ht="15.75" customHeight="1">
      <c r="A21" s="1"/>
      <c r="B21" s="1"/>
      <c r="C21" s="1"/>
      <c r="D21" s="1"/>
      <c r="E21" s="1"/>
      <c r="F21" s="1"/>
      <c r="G21" s="1"/>
      <c r="H21" s="1"/>
      <c r="I21" s="113" t="s">
        <v>50</v>
      </c>
      <c r="J21" s="14"/>
      <c r="K21" s="37" t="s">
        <v>26</v>
      </c>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ht="15.75" customHeight="1">
      <c r="A22" s="1"/>
      <c r="B22" s="1"/>
      <c r="C22" s="1"/>
      <c r="D22" s="1"/>
      <c r="E22" s="1"/>
      <c r="F22" s="1"/>
      <c r="G22" s="1"/>
      <c r="H22" s="1"/>
      <c r="I22" s="114" t="s">
        <v>51</v>
      </c>
      <c r="J22" s="115"/>
      <c r="K22" s="38" t="s">
        <v>29</v>
      </c>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ht="15.75" customHeight="1">
      <c r="A23" s="1"/>
      <c r="B23" s="1"/>
      <c r="C23" s="1"/>
      <c r="D23" s="1"/>
      <c r="E23" s="1"/>
      <c r="F23" s="1"/>
      <c r="G23" s="1"/>
      <c r="H23" s="1"/>
      <c r="I23" s="117" t="s">
        <v>52</v>
      </c>
      <c r="J23" s="115"/>
      <c r="K23" s="39" t="s">
        <v>31</v>
      </c>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ht="15.75" customHeight="1">
      <c r="A24" s="1"/>
      <c r="B24" s="1"/>
      <c r="C24" s="1"/>
      <c r="D24" s="1"/>
      <c r="E24" s="1"/>
      <c r="F24" s="1"/>
      <c r="G24" s="1"/>
      <c r="H24" s="1"/>
      <c r="I24" s="118" t="s">
        <v>39</v>
      </c>
      <c r="J24" s="115"/>
      <c r="K24" s="40" t="s">
        <v>32</v>
      </c>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ht="15.75" customHeight="1">
      <c r="A25" s="1"/>
      <c r="B25" s="1"/>
      <c r="C25" s="1"/>
      <c r="D25" s="1"/>
      <c r="E25" s="1"/>
      <c r="F25" s="1"/>
      <c r="G25" s="1"/>
      <c r="H25" s="1"/>
      <c r="I25" s="113" t="s">
        <v>54</v>
      </c>
      <c r="J25" s="14"/>
      <c r="K25" s="119" t="s">
        <v>26</v>
      </c>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row>
  </sheetData>
  <mergeCells count="39">
    <mergeCell ref="B2:H2"/>
    <mergeCell ref="B4:B5"/>
    <mergeCell ref="C4:C5"/>
    <mergeCell ref="D4:G4"/>
    <mergeCell ref="H4:H5"/>
    <mergeCell ref="J4:J5"/>
    <mergeCell ref="K4:BH4"/>
    <mergeCell ref="K6:O6"/>
    <mergeCell ref="P6:R6"/>
    <mergeCell ref="W6:AA6"/>
    <mergeCell ref="AB6:BH6"/>
    <mergeCell ref="AC7:AG7"/>
    <mergeCell ref="AV7:AW7"/>
    <mergeCell ref="AX7:BH7"/>
    <mergeCell ref="AQ9:AU9"/>
    <mergeCell ref="AV9:BH9"/>
    <mergeCell ref="AH7:AJ7"/>
    <mergeCell ref="AH8:AL8"/>
    <mergeCell ref="AM8:AO8"/>
    <mergeCell ref="AX8:BA8"/>
    <mergeCell ref="BB8:BH8"/>
    <mergeCell ref="P9:R9"/>
    <mergeCell ref="S9:U9"/>
    <mergeCell ref="S10:V10"/>
    <mergeCell ref="W10:Z10"/>
    <mergeCell ref="AC10:BH10"/>
    <mergeCell ref="AM11:AP11"/>
    <mergeCell ref="AQ11:AT11"/>
    <mergeCell ref="BC11:BH11"/>
    <mergeCell ref="B13:I13"/>
    <mergeCell ref="I24:J24"/>
    <mergeCell ref="I25:J25"/>
    <mergeCell ref="B14:H14"/>
    <mergeCell ref="J14:J18"/>
    <mergeCell ref="B15:H15"/>
    <mergeCell ref="I20:J20"/>
    <mergeCell ref="I21:J21"/>
    <mergeCell ref="I22:J22"/>
    <mergeCell ref="I23:J2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3.75"/>
    <col customWidth="1" min="9" max="9" width="10.38"/>
    <col customWidth="1" min="11" max="60" width="3.75"/>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ht="15.75" customHeight="1">
      <c r="A2" s="1"/>
      <c r="B2" s="6" t="s">
        <v>4</v>
      </c>
      <c r="C2" s="5"/>
      <c r="D2" s="5"/>
      <c r="E2" s="5"/>
      <c r="F2" s="5"/>
      <c r="G2" s="5"/>
      <c r="H2" s="5"/>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ht="15.75" customHeight="1">
      <c r="A4" s="1"/>
      <c r="B4" s="8" t="s">
        <v>6</v>
      </c>
      <c r="C4" s="9" t="s">
        <v>8</v>
      </c>
      <c r="D4" s="11" t="s">
        <v>9</v>
      </c>
      <c r="E4" s="12"/>
      <c r="F4" s="12"/>
      <c r="G4" s="14"/>
      <c r="H4" s="15" t="s">
        <v>14</v>
      </c>
      <c r="I4" s="1"/>
      <c r="J4" s="16" t="s">
        <v>15</v>
      </c>
      <c r="K4" s="17" t="s">
        <v>16</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row>
    <row r="5" ht="15.75" customHeight="1">
      <c r="A5" s="1"/>
      <c r="B5" s="18"/>
      <c r="C5" s="19"/>
      <c r="D5" s="20" t="s">
        <v>17</v>
      </c>
      <c r="E5" s="20" t="s">
        <v>18</v>
      </c>
      <c r="F5" s="20" t="s">
        <v>17</v>
      </c>
      <c r="G5" s="21" t="s">
        <v>19</v>
      </c>
      <c r="H5" s="19"/>
      <c r="I5" s="1"/>
      <c r="J5" s="23"/>
      <c r="K5" s="25">
        <v>1.0</v>
      </c>
      <c r="L5" s="25">
        <f t="shared" ref="L5:BH5" si="1">+K5+1</f>
        <v>2</v>
      </c>
      <c r="M5" s="25">
        <f t="shared" si="1"/>
        <v>3</v>
      </c>
      <c r="N5" s="25">
        <f t="shared" si="1"/>
        <v>4</v>
      </c>
      <c r="O5" s="25">
        <f t="shared" si="1"/>
        <v>5</v>
      </c>
      <c r="P5" s="25">
        <f t="shared" si="1"/>
        <v>6</v>
      </c>
      <c r="Q5" s="25">
        <f t="shared" si="1"/>
        <v>7</v>
      </c>
      <c r="R5" s="25">
        <f t="shared" si="1"/>
        <v>8</v>
      </c>
      <c r="S5" s="25">
        <f t="shared" si="1"/>
        <v>9</v>
      </c>
      <c r="T5" s="25">
        <f t="shared" si="1"/>
        <v>10</v>
      </c>
      <c r="U5" s="25">
        <f t="shared" si="1"/>
        <v>11</v>
      </c>
      <c r="V5" s="25">
        <f t="shared" si="1"/>
        <v>12</v>
      </c>
      <c r="W5" s="25">
        <f t="shared" si="1"/>
        <v>13</v>
      </c>
      <c r="X5" s="25">
        <f t="shared" si="1"/>
        <v>14</v>
      </c>
      <c r="Y5" s="25">
        <f t="shared" si="1"/>
        <v>15</v>
      </c>
      <c r="Z5" s="25">
        <f t="shared" si="1"/>
        <v>16</v>
      </c>
      <c r="AA5" s="25">
        <f t="shared" si="1"/>
        <v>17</v>
      </c>
      <c r="AB5" s="25">
        <f t="shared" si="1"/>
        <v>18</v>
      </c>
      <c r="AC5" s="25">
        <f t="shared" si="1"/>
        <v>19</v>
      </c>
      <c r="AD5" s="25">
        <f t="shared" si="1"/>
        <v>20</v>
      </c>
      <c r="AE5" s="25">
        <f t="shared" si="1"/>
        <v>21</v>
      </c>
      <c r="AF5" s="25">
        <f t="shared" si="1"/>
        <v>22</v>
      </c>
      <c r="AG5" s="25">
        <f t="shared" si="1"/>
        <v>23</v>
      </c>
      <c r="AH5" s="25">
        <f t="shared" si="1"/>
        <v>24</v>
      </c>
      <c r="AI5" s="25">
        <f t="shared" si="1"/>
        <v>25</v>
      </c>
      <c r="AJ5" s="25">
        <f t="shared" si="1"/>
        <v>26</v>
      </c>
      <c r="AK5" s="25">
        <f t="shared" si="1"/>
        <v>27</v>
      </c>
      <c r="AL5" s="25">
        <f t="shared" si="1"/>
        <v>28</v>
      </c>
      <c r="AM5" s="25">
        <f t="shared" si="1"/>
        <v>29</v>
      </c>
      <c r="AN5" s="25">
        <f t="shared" si="1"/>
        <v>30</v>
      </c>
      <c r="AO5" s="25">
        <f t="shared" si="1"/>
        <v>31</v>
      </c>
      <c r="AP5" s="25">
        <f t="shared" si="1"/>
        <v>32</v>
      </c>
      <c r="AQ5" s="25">
        <f t="shared" si="1"/>
        <v>33</v>
      </c>
      <c r="AR5" s="25">
        <f t="shared" si="1"/>
        <v>34</v>
      </c>
      <c r="AS5" s="25">
        <f t="shared" si="1"/>
        <v>35</v>
      </c>
      <c r="AT5" s="25">
        <f t="shared" si="1"/>
        <v>36</v>
      </c>
      <c r="AU5" s="25">
        <f t="shared" si="1"/>
        <v>37</v>
      </c>
      <c r="AV5" s="25">
        <f t="shared" si="1"/>
        <v>38</v>
      </c>
      <c r="AW5" s="25">
        <f t="shared" si="1"/>
        <v>39</v>
      </c>
      <c r="AX5" s="25">
        <f t="shared" si="1"/>
        <v>40</v>
      </c>
      <c r="AY5" s="25">
        <f t="shared" si="1"/>
        <v>41</v>
      </c>
      <c r="AZ5" s="25">
        <f t="shared" si="1"/>
        <v>42</v>
      </c>
      <c r="BA5" s="25">
        <f t="shared" si="1"/>
        <v>43</v>
      </c>
      <c r="BB5" s="25">
        <f t="shared" si="1"/>
        <v>44</v>
      </c>
      <c r="BC5" s="25">
        <f t="shared" si="1"/>
        <v>45</v>
      </c>
      <c r="BD5" s="25">
        <f t="shared" si="1"/>
        <v>46</v>
      </c>
      <c r="BE5" s="25">
        <f t="shared" si="1"/>
        <v>47</v>
      </c>
      <c r="BF5" s="25">
        <f t="shared" si="1"/>
        <v>48</v>
      </c>
      <c r="BG5" s="25">
        <f t="shared" si="1"/>
        <v>49</v>
      </c>
      <c r="BH5" s="31">
        <f t="shared" si="1"/>
        <v>50</v>
      </c>
    </row>
    <row r="6" ht="18.75" customHeight="1">
      <c r="A6" s="1"/>
      <c r="B6" s="29" t="s">
        <v>22</v>
      </c>
      <c r="C6" s="30" t="str">
        <f>'CONFIGURACIÓN'!I6</f>
        <v>t1</v>
      </c>
      <c r="D6" s="30">
        <f>'CONFIGURACIÓN'!J6</f>
        <v>5</v>
      </c>
      <c r="E6" s="30">
        <f>'CONFIGURACIÓN'!K6</f>
        <v>1</v>
      </c>
      <c r="F6" s="30">
        <f>'CONFIGURACIÓN'!L6</f>
        <v>5</v>
      </c>
      <c r="G6" s="33">
        <f t="shared" ref="G6:G11" si="2">IF(D6="","",D6+F6)</f>
        <v>10</v>
      </c>
      <c r="H6" s="30" t="str">
        <f>'CONFIGURACIÓN'!M6</f>
        <v>Media</v>
      </c>
      <c r="I6" s="1"/>
      <c r="J6" s="36" t="str">
        <f t="shared" ref="J6:J11" si="3">+B6</f>
        <v>P1</v>
      </c>
      <c r="K6" s="37" t="s">
        <v>26</v>
      </c>
      <c r="L6" s="37" t="s">
        <v>26</v>
      </c>
      <c r="M6" s="37" t="s">
        <v>26</v>
      </c>
      <c r="N6" s="37" t="s">
        <v>26</v>
      </c>
      <c r="O6" s="37" t="s">
        <v>26</v>
      </c>
      <c r="P6" s="38" t="s">
        <v>29</v>
      </c>
      <c r="Q6" s="39" t="s">
        <v>31</v>
      </c>
      <c r="R6" s="39" t="s">
        <v>31</v>
      </c>
      <c r="S6" s="39" t="s">
        <v>31</v>
      </c>
      <c r="T6" s="37" t="s">
        <v>26</v>
      </c>
      <c r="U6" s="37" t="s">
        <v>26</v>
      </c>
      <c r="V6" s="37" t="s">
        <v>26</v>
      </c>
      <c r="W6" s="37" t="s">
        <v>26</v>
      </c>
      <c r="X6" s="37" t="s">
        <v>26</v>
      </c>
      <c r="Y6" s="40" t="s">
        <v>32</v>
      </c>
      <c r="Z6" s="40" t="s">
        <v>32</v>
      </c>
      <c r="AA6" s="40" t="s">
        <v>32</v>
      </c>
      <c r="AB6" s="40" t="s">
        <v>32</v>
      </c>
      <c r="AC6" s="40" t="s">
        <v>32</v>
      </c>
      <c r="AD6" s="40" t="s">
        <v>32</v>
      </c>
      <c r="AE6" s="40" t="s">
        <v>32</v>
      </c>
      <c r="AF6" s="40" t="s">
        <v>32</v>
      </c>
      <c r="AG6" s="40" t="s">
        <v>32</v>
      </c>
      <c r="AH6" s="40" t="s">
        <v>32</v>
      </c>
      <c r="AI6" s="40" t="s">
        <v>32</v>
      </c>
      <c r="AJ6" s="40" t="s">
        <v>32</v>
      </c>
      <c r="AK6" s="40" t="s">
        <v>32</v>
      </c>
      <c r="AL6" s="40" t="s">
        <v>32</v>
      </c>
      <c r="AM6" s="40" t="s">
        <v>32</v>
      </c>
      <c r="AN6" s="40" t="s">
        <v>32</v>
      </c>
      <c r="AO6" s="40" t="s">
        <v>32</v>
      </c>
      <c r="AP6" s="40" t="s">
        <v>32</v>
      </c>
      <c r="AQ6" s="40" t="s">
        <v>32</v>
      </c>
      <c r="AR6" s="40" t="s">
        <v>32</v>
      </c>
      <c r="AS6" s="40" t="s">
        <v>32</v>
      </c>
      <c r="AT6" s="40" t="s">
        <v>32</v>
      </c>
      <c r="AU6" s="40" t="s">
        <v>32</v>
      </c>
      <c r="AV6" s="40" t="s">
        <v>32</v>
      </c>
      <c r="AW6" s="40" t="s">
        <v>32</v>
      </c>
      <c r="AX6" s="40" t="s">
        <v>32</v>
      </c>
      <c r="AY6" s="40" t="s">
        <v>32</v>
      </c>
      <c r="AZ6" s="40" t="s">
        <v>32</v>
      </c>
      <c r="BA6" s="40" t="s">
        <v>32</v>
      </c>
      <c r="BB6" s="40" t="s">
        <v>32</v>
      </c>
      <c r="BC6" s="40" t="s">
        <v>32</v>
      </c>
      <c r="BD6" s="40" t="s">
        <v>32</v>
      </c>
      <c r="BE6" s="40" t="s">
        <v>32</v>
      </c>
      <c r="BF6" s="40" t="s">
        <v>32</v>
      </c>
      <c r="BG6" s="40" t="s">
        <v>32</v>
      </c>
      <c r="BH6" s="40" t="s">
        <v>32</v>
      </c>
    </row>
    <row r="7" ht="18.75" customHeight="1">
      <c r="A7" s="1"/>
      <c r="B7" s="34" t="s">
        <v>25</v>
      </c>
      <c r="C7" s="35" t="str">
        <f>'CONFIGURACIÓN'!I7</f>
        <v>t2</v>
      </c>
      <c r="D7" s="35">
        <f>'CONFIGURACIÓN'!J7</f>
        <v>5</v>
      </c>
      <c r="E7" s="35">
        <f>'CONFIGURACIÓN'!K7</f>
        <v>3</v>
      </c>
      <c r="F7" s="35">
        <f>'CONFIGURACIÓN'!L7</f>
        <v>2</v>
      </c>
      <c r="G7" s="49">
        <f t="shared" si="2"/>
        <v>7</v>
      </c>
      <c r="H7" s="35" t="str">
        <f>'CONFIGURACIÓN'!M7</f>
        <v>Baja</v>
      </c>
      <c r="I7" s="1"/>
      <c r="J7" s="51" t="str">
        <f t="shared" si="3"/>
        <v>P2</v>
      </c>
      <c r="K7" s="52"/>
      <c r="L7" s="39" t="s">
        <v>31</v>
      </c>
      <c r="M7" s="39" t="s">
        <v>31</v>
      </c>
      <c r="N7" s="39" t="s">
        <v>31</v>
      </c>
      <c r="O7" s="39" t="s">
        <v>31</v>
      </c>
      <c r="P7" s="39" t="s">
        <v>31</v>
      </c>
      <c r="Q7" s="39" t="s">
        <v>31</v>
      </c>
      <c r="R7" s="39" t="s">
        <v>31</v>
      </c>
      <c r="S7" s="39" t="s">
        <v>31</v>
      </c>
      <c r="T7" s="39" t="s">
        <v>31</v>
      </c>
      <c r="U7" s="39" t="s">
        <v>31</v>
      </c>
      <c r="V7" s="39" t="s">
        <v>31</v>
      </c>
      <c r="W7" s="39" t="s">
        <v>31</v>
      </c>
      <c r="X7" s="39" t="s">
        <v>31</v>
      </c>
      <c r="Y7" s="39" t="s">
        <v>31</v>
      </c>
      <c r="Z7" s="39" t="s">
        <v>31</v>
      </c>
      <c r="AA7" s="39" t="s">
        <v>31</v>
      </c>
      <c r="AB7" s="39" t="s">
        <v>31</v>
      </c>
      <c r="AC7" s="37" t="s">
        <v>26</v>
      </c>
      <c r="AD7" s="37" t="s">
        <v>26</v>
      </c>
      <c r="AE7" s="37" t="s">
        <v>26</v>
      </c>
      <c r="AF7" s="37" t="s">
        <v>26</v>
      </c>
      <c r="AG7" s="37" t="s">
        <v>26</v>
      </c>
      <c r="AH7" s="38" t="s">
        <v>29</v>
      </c>
      <c r="AI7" s="38" t="s">
        <v>29</v>
      </c>
      <c r="AJ7" s="38" t="s">
        <v>29</v>
      </c>
      <c r="AK7" s="39" t="s">
        <v>31</v>
      </c>
      <c r="AL7" s="39" t="s">
        <v>31</v>
      </c>
      <c r="AM7" s="39" t="s">
        <v>31</v>
      </c>
      <c r="AN7" s="39" t="s">
        <v>31</v>
      </c>
      <c r="AO7" s="39" t="s">
        <v>31</v>
      </c>
      <c r="AP7" s="39" t="s">
        <v>31</v>
      </c>
      <c r="AQ7" s="39" t="s">
        <v>31</v>
      </c>
      <c r="AR7" s="39" t="s">
        <v>31</v>
      </c>
      <c r="AS7" s="39" t="s">
        <v>31</v>
      </c>
      <c r="AT7" s="39" t="s">
        <v>31</v>
      </c>
      <c r="AU7" s="39" t="s">
        <v>31</v>
      </c>
      <c r="AV7" s="37" t="s">
        <v>26</v>
      </c>
      <c r="AW7" s="37" t="s">
        <v>26</v>
      </c>
      <c r="AX7" s="40" t="s">
        <v>32</v>
      </c>
      <c r="AY7" s="40" t="s">
        <v>32</v>
      </c>
      <c r="AZ7" s="40" t="s">
        <v>32</v>
      </c>
      <c r="BA7" s="40" t="s">
        <v>32</v>
      </c>
      <c r="BB7" s="40" t="s">
        <v>32</v>
      </c>
      <c r="BC7" s="40" t="s">
        <v>32</v>
      </c>
      <c r="BD7" s="40" t="s">
        <v>32</v>
      </c>
      <c r="BE7" s="40" t="s">
        <v>32</v>
      </c>
      <c r="BF7" s="40" t="s">
        <v>32</v>
      </c>
      <c r="BG7" s="40" t="s">
        <v>32</v>
      </c>
      <c r="BH7" s="40" t="s">
        <v>32</v>
      </c>
    </row>
    <row r="8" ht="18.75" customHeight="1">
      <c r="A8" s="1"/>
      <c r="B8" s="29" t="s">
        <v>30</v>
      </c>
      <c r="C8" s="30" t="str">
        <f>'CONFIGURACIÓN'!I8</f>
        <v>t6</v>
      </c>
      <c r="D8" s="30">
        <f>'CONFIGURACIÓN'!J8</f>
        <v>5</v>
      </c>
      <c r="E8" s="30">
        <f>'CONFIGURACIÓN'!K8</f>
        <v>3</v>
      </c>
      <c r="F8" s="30">
        <f>'CONFIGURACIÓN'!L8</f>
        <v>4</v>
      </c>
      <c r="G8" s="33">
        <f t="shared" si="2"/>
        <v>9</v>
      </c>
      <c r="H8" s="30" t="str">
        <f>'CONFIGURACIÓN'!M8</f>
        <v>Baja</v>
      </c>
      <c r="I8" s="1"/>
      <c r="J8" s="56" t="str">
        <f t="shared" si="3"/>
        <v>P3</v>
      </c>
      <c r="K8" s="52"/>
      <c r="L8" s="52"/>
      <c r="M8" s="52"/>
      <c r="N8" s="52"/>
      <c r="O8" s="52"/>
      <c r="P8" s="39" t="s">
        <v>31</v>
      </c>
      <c r="Q8" s="39" t="s">
        <v>31</v>
      </c>
      <c r="R8" s="39" t="s">
        <v>31</v>
      </c>
      <c r="S8" s="39" t="s">
        <v>31</v>
      </c>
      <c r="T8" s="39" t="s">
        <v>31</v>
      </c>
      <c r="U8" s="39" t="s">
        <v>31</v>
      </c>
      <c r="V8" s="39" t="s">
        <v>31</v>
      </c>
      <c r="W8" s="39" t="s">
        <v>31</v>
      </c>
      <c r="X8" s="39" t="s">
        <v>31</v>
      </c>
      <c r="Y8" s="39" t="s">
        <v>31</v>
      </c>
      <c r="Z8" s="39" t="s">
        <v>31</v>
      </c>
      <c r="AA8" s="39" t="s">
        <v>31</v>
      </c>
      <c r="AB8" s="39" t="s">
        <v>31</v>
      </c>
      <c r="AC8" s="39" t="s">
        <v>31</v>
      </c>
      <c r="AD8" s="39" t="s">
        <v>31</v>
      </c>
      <c r="AE8" s="39" t="s">
        <v>31</v>
      </c>
      <c r="AF8" s="39" t="s">
        <v>31</v>
      </c>
      <c r="AG8" s="39" t="s">
        <v>31</v>
      </c>
      <c r="AH8" s="39" t="s">
        <v>31</v>
      </c>
      <c r="AI8" s="39" t="s">
        <v>31</v>
      </c>
      <c r="AJ8" s="39" t="s">
        <v>31</v>
      </c>
      <c r="AK8" s="39" t="s">
        <v>31</v>
      </c>
      <c r="AL8" s="37" t="s">
        <v>26</v>
      </c>
      <c r="AM8" s="37" t="s">
        <v>26</v>
      </c>
      <c r="AN8" s="37" t="s">
        <v>26</v>
      </c>
      <c r="AO8" s="37" t="s">
        <v>26</v>
      </c>
      <c r="AP8" s="37" t="s">
        <v>26</v>
      </c>
      <c r="AQ8" s="38" t="s">
        <v>29</v>
      </c>
      <c r="AR8" s="38" t="s">
        <v>29</v>
      </c>
      <c r="AS8" s="38" t="s">
        <v>29</v>
      </c>
      <c r="AT8" s="39" t="s">
        <v>31</v>
      </c>
      <c r="AU8" s="39" t="s">
        <v>31</v>
      </c>
      <c r="AV8" s="39" t="s">
        <v>31</v>
      </c>
      <c r="AW8" s="39" t="s">
        <v>31</v>
      </c>
      <c r="AX8" s="39" t="s">
        <v>31</v>
      </c>
      <c r="AY8" s="37" t="s">
        <v>26</v>
      </c>
      <c r="AZ8" s="37" t="s">
        <v>26</v>
      </c>
      <c r="BA8" s="37" t="s">
        <v>26</v>
      </c>
      <c r="BB8" s="37" t="s">
        <v>26</v>
      </c>
      <c r="BC8" s="40" t="s">
        <v>32</v>
      </c>
      <c r="BD8" s="40" t="s">
        <v>32</v>
      </c>
      <c r="BE8" s="40" t="s">
        <v>32</v>
      </c>
      <c r="BF8" s="40" t="s">
        <v>32</v>
      </c>
      <c r="BG8" s="40" t="s">
        <v>32</v>
      </c>
      <c r="BH8" s="40" t="s">
        <v>32</v>
      </c>
    </row>
    <row r="9" ht="18.75" customHeight="1">
      <c r="A9" s="1"/>
      <c r="B9" s="34" t="s">
        <v>35</v>
      </c>
      <c r="C9" s="35" t="str">
        <f>'CONFIGURACIÓN'!I9</f>
        <v>t1</v>
      </c>
      <c r="D9" s="35">
        <f>'CONFIGURACIÓN'!J9</f>
        <v>3</v>
      </c>
      <c r="E9" s="35">
        <f>'CONFIGURACIÓN'!K9</f>
        <v>3</v>
      </c>
      <c r="F9" s="35">
        <f>'CONFIGURACIÓN'!L9</f>
        <v>5</v>
      </c>
      <c r="G9" s="49">
        <f t="shared" si="2"/>
        <v>8</v>
      </c>
      <c r="H9" s="35" t="str">
        <f>'CONFIGURACIÓN'!M9</f>
        <v>Baja</v>
      </c>
      <c r="I9" s="1"/>
      <c r="J9" s="51" t="str">
        <f t="shared" si="3"/>
        <v>P4</v>
      </c>
      <c r="K9" s="39" t="s">
        <v>31</v>
      </c>
      <c r="L9" s="39" t="s">
        <v>31</v>
      </c>
      <c r="M9" s="39" t="s">
        <v>31</v>
      </c>
      <c r="N9" s="39" t="s">
        <v>31</v>
      </c>
      <c r="O9" s="39" t="s">
        <v>31</v>
      </c>
      <c r="P9" s="39" t="s">
        <v>31</v>
      </c>
      <c r="Q9" s="39" t="s">
        <v>31</v>
      </c>
      <c r="R9" s="39" t="s">
        <v>31</v>
      </c>
      <c r="S9" s="39" t="s">
        <v>31</v>
      </c>
      <c r="T9" s="39" t="s">
        <v>31</v>
      </c>
      <c r="U9" s="39" t="s">
        <v>31</v>
      </c>
      <c r="V9" s="39" t="s">
        <v>31</v>
      </c>
      <c r="W9" s="39" t="s">
        <v>31</v>
      </c>
      <c r="X9" s="39" t="s">
        <v>31</v>
      </c>
      <c r="Y9" s="39" t="s">
        <v>31</v>
      </c>
      <c r="Z9" s="37" t="s">
        <v>26</v>
      </c>
      <c r="AA9" s="37" t="s">
        <v>26</v>
      </c>
      <c r="AB9" s="37" t="s">
        <v>26</v>
      </c>
      <c r="AC9" s="38" t="s">
        <v>29</v>
      </c>
      <c r="AD9" s="38" t="s">
        <v>29</v>
      </c>
      <c r="AE9" s="38" t="s">
        <v>29</v>
      </c>
      <c r="AF9" s="39" t="s">
        <v>31</v>
      </c>
      <c r="AG9" s="39" t="s">
        <v>31</v>
      </c>
      <c r="AH9" s="39" t="s">
        <v>31</v>
      </c>
      <c r="AI9" s="39" t="s">
        <v>31</v>
      </c>
      <c r="AJ9" s="39" t="s">
        <v>31</v>
      </c>
      <c r="AK9" s="39" t="s">
        <v>31</v>
      </c>
      <c r="AL9" s="39" t="s">
        <v>31</v>
      </c>
      <c r="AM9" s="39" t="s">
        <v>31</v>
      </c>
      <c r="AN9" s="39" t="s">
        <v>31</v>
      </c>
      <c r="AO9" s="39" t="s">
        <v>31</v>
      </c>
      <c r="AP9" s="39" t="s">
        <v>31</v>
      </c>
      <c r="AQ9" s="37" t="s">
        <v>26</v>
      </c>
      <c r="AR9" s="37" t="s">
        <v>26</v>
      </c>
      <c r="AS9" s="37" t="s">
        <v>26</v>
      </c>
      <c r="AT9" s="37" t="s">
        <v>26</v>
      </c>
      <c r="AU9" s="37" t="s">
        <v>26</v>
      </c>
      <c r="AV9" s="40" t="s">
        <v>32</v>
      </c>
      <c r="AW9" s="40" t="s">
        <v>32</v>
      </c>
      <c r="AX9" s="40" t="s">
        <v>32</v>
      </c>
      <c r="AY9" s="40" t="s">
        <v>32</v>
      </c>
      <c r="AZ9" s="40" t="s">
        <v>32</v>
      </c>
      <c r="BA9" s="40" t="s">
        <v>32</v>
      </c>
      <c r="BB9" s="40" t="s">
        <v>32</v>
      </c>
      <c r="BC9" s="40" t="s">
        <v>32</v>
      </c>
      <c r="BD9" s="40" t="s">
        <v>32</v>
      </c>
      <c r="BE9" s="40" t="s">
        <v>32</v>
      </c>
      <c r="BF9" s="40" t="s">
        <v>32</v>
      </c>
      <c r="BG9" s="40" t="s">
        <v>32</v>
      </c>
      <c r="BH9" s="40" t="s">
        <v>32</v>
      </c>
    </row>
    <row r="10" ht="18.75" customHeight="1">
      <c r="A10" s="1"/>
      <c r="B10" s="29" t="s">
        <v>38</v>
      </c>
      <c r="C10" s="30" t="str">
        <f>'CONFIGURACIÓN'!I10</f>
        <v>t6</v>
      </c>
      <c r="D10" s="30">
        <f>'CONFIGURACIÓN'!J10</f>
        <v>4</v>
      </c>
      <c r="E10" s="30">
        <f>'CONFIGURACIÓN'!K10</f>
        <v>4</v>
      </c>
      <c r="F10" s="30">
        <f>'CONFIGURACIÓN'!L10</f>
        <v>1</v>
      </c>
      <c r="G10" s="33">
        <f t="shared" si="2"/>
        <v>5</v>
      </c>
      <c r="H10" s="30" t="str">
        <f>'CONFIGURACIÓN'!M10</f>
        <v>Media</v>
      </c>
      <c r="I10" s="1"/>
      <c r="J10" s="56" t="str">
        <f t="shared" si="3"/>
        <v>P5</v>
      </c>
      <c r="K10" s="52"/>
      <c r="L10" s="52"/>
      <c r="M10" s="52"/>
      <c r="N10" s="52"/>
      <c r="O10" s="52"/>
      <c r="P10" s="37" t="s">
        <v>26</v>
      </c>
      <c r="Q10" s="37" t="s">
        <v>26</v>
      </c>
      <c r="R10" s="37" t="s">
        <v>26</v>
      </c>
      <c r="S10" s="37" t="s">
        <v>26</v>
      </c>
      <c r="T10" s="38" t="s">
        <v>29</v>
      </c>
      <c r="U10" s="38" t="s">
        <v>29</v>
      </c>
      <c r="V10" s="38" t="s">
        <v>29</v>
      </c>
      <c r="W10" s="38" t="s">
        <v>29</v>
      </c>
      <c r="X10" s="39" t="s">
        <v>31</v>
      </c>
      <c r="Y10" s="37" t="s">
        <v>26</v>
      </c>
      <c r="Z10" s="40" t="s">
        <v>32</v>
      </c>
      <c r="AA10" s="40" t="s">
        <v>32</v>
      </c>
      <c r="AB10" s="40" t="s">
        <v>32</v>
      </c>
      <c r="AC10" s="40" t="s">
        <v>32</v>
      </c>
      <c r="AD10" s="40" t="s">
        <v>32</v>
      </c>
      <c r="AE10" s="40" t="s">
        <v>32</v>
      </c>
      <c r="AF10" s="40" t="s">
        <v>32</v>
      </c>
      <c r="AG10" s="40" t="s">
        <v>32</v>
      </c>
      <c r="AH10" s="40" t="s">
        <v>32</v>
      </c>
      <c r="AI10" s="40" t="s">
        <v>32</v>
      </c>
      <c r="AJ10" s="40" t="s">
        <v>32</v>
      </c>
      <c r="AK10" s="40" t="s">
        <v>32</v>
      </c>
      <c r="AL10" s="40" t="s">
        <v>32</v>
      </c>
      <c r="AM10" s="40" t="s">
        <v>32</v>
      </c>
      <c r="AN10" s="40" t="s">
        <v>32</v>
      </c>
      <c r="AO10" s="40" t="s">
        <v>32</v>
      </c>
      <c r="AP10" s="40" t="s">
        <v>32</v>
      </c>
      <c r="AQ10" s="40" t="s">
        <v>32</v>
      </c>
      <c r="AR10" s="40" t="s">
        <v>32</v>
      </c>
      <c r="AS10" s="40" t="s">
        <v>32</v>
      </c>
      <c r="AT10" s="40" t="s">
        <v>32</v>
      </c>
      <c r="AU10" s="40" t="s">
        <v>32</v>
      </c>
      <c r="AV10" s="40" t="s">
        <v>32</v>
      </c>
      <c r="AW10" s="40" t="s">
        <v>32</v>
      </c>
      <c r="AX10" s="40" t="s">
        <v>32</v>
      </c>
      <c r="AY10" s="40" t="s">
        <v>32</v>
      </c>
      <c r="AZ10" s="40" t="s">
        <v>32</v>
      </c>
      <c r="BA10" s="40" t="s">
        <v>32</v>
      </c>
      <c r="BB10" s="40" t="s">
        <v>32</v>
      </c>
      <c r="BC10" s="40" t="s">
        <v>32</v>
      </c>
      <c r="BD10" s="40" t="s">
        <v>32</v>
      </c>
      <c r="BE10" s="40" t="s">
        <v>32</v>
      </c>
      <c r="BF10" s="40" t="s">
        <v>32</v>
      </c>
      <c r="BG10" s="40" t="s">
        <v>32</v>
      </c>
      <c r="BH10" s="40" t="s">
        <v>32</v>
      </c>
    </row>
    <row r="11" ht="18.75" customHeight="1">
      <c r="A11" s="1"/>
      <c r="B11" s="34" t="s">
        <v>40</v>
      </c>
      <c r="C11" s="35" t="str">
        <f>'CONFIGURACIÓN'!I11</f>
        <v>t6</v>
      </c>
      <c r="D11" s="35">
        <f>'CONFIGURACIÓN'!J11</f>
        <v>4</v>
      </c>
      <c r="E11" s="35">
        <f>'CONFIGURACIÓN'!K11</f>
        <v>4</v>
      </c>
      <c r="F11" s="35">
        <f>'CONFIGURACIÓN'!L11</f>
        <v>1</v>
      </c>
      <c r="G11" s="49">
        <f t="shared" si="2"/>
        <v>5</v>
      </c>
      <c r="H11" s="35" t="str">
        <f>'CONFIGURACIÓN'!M11</f>
        <v>Baja</v>
      </c>
      <c r="I11" s="1"/>
      <c r="J11" s="67" t="str">
        <f t="shared" si="3"/>
        <v>P6</v>
      </c>
      <c r="K11" s="68"/>
      <c r="L11" s="68"/>
      <c r="M11" s="68"/>
      <c r="N11" s="68"/>
      <c r="O11" s="68"/>
      <c r="P11" s="39" t="s">
        <v>31</v>
      </c>
      <c r="Q11" s="39" t="s">
        <v>31</v>
      </c>
      <c r="R11" s="39" t="s">
        <v>31</v>
      </c>
      <c r="S11" s="39" t="s">
        <v>31</v>
      </c>
      <c r="T11" s="39" t="s">
        <v>31</v>
      </c>
      <c r="U11" s="39" t="s">
        <v>31</v>
      </c>
      <c r="V11" s="39" t="s">
        <v>31</v>
      </c>
      <c r="W11" s="39" t="s">
        <v>31</v>
      </c>
      <c r="X11" s="39" t="s">
        <v>31</v>
      </c>
      <c r="Y11" s="39" t="s">
        <v>31</v>
      </c>
      <c r="Z11" s="39" t="s">
        <v>31</v>
      </c>
      <c r="AA11" s="39" t="s">
        <v>31</v>
      </c>
      <c r="AB11" s="39" t="s">
        <v>31</v>
      </c>
      <c r="AC11" s="39" t="s">
        <v>31</v>
      </c>
      <c r="AD11" s="39" t="s">
        <v>31</v>
      </c>
      <c r="AE11" s="39" t="s">
        <v>31</v>
      </c>
      <c r="AF11" s="39" t="s">
        <v>31</v>
      </c>
      <c r="AG11" s="39" t="s">
        <v>31</v>
      </c>
      <c r="AH11" s="37" t="s">
        <v>26</v>
      </c>
      <c r="AI11" s="37" t="s">
        <v>26</v>
      </c>
      <c r="AJ11" s="37" t="s">
        <v>26</v>
      </c>
      <c r="AK11" s="37" t="s">
        <v>26</v>
      </c>
      <c r="AL11" s="38" t="s">
        <v>29</v>
      </c>
      <c r="AM11" s="38" t="s">
        <v>29</v>
      </c>
      <c r="AN11" s="38" t="s">
        <v>29</v>
      </c>
      <c r="AO11" s="38" t="s">
        <v>29</v>
      </c>
      <c r="AP11" s="39" t="s">
        <v>31</v>
      </c>
      <c r="AQ11" s="39" t="s">
        <v>31</v>
      </c>
      <c r="AR11" s="39" t="s">
        <v>31</v>
      </c>
      <c r="AS11" s="39" t="s">
        <v>31</v>
      </c>
      <c r="AT11" s="39" t="s">
        <v>31</v>
      </c>
      <c r="AU11" s="39" t="s">
        <v>31</v>
      </c>
      <c r="AV11" s="39" t="s">
        <v>31</v>
      </c>
      <c r="AW11" s="39" t="s">
        <v>31</v>
      </c>
      <c r="AX11" s="37" t="s">
        <v>26</v>
      </c>
      <c r="AY11" s="40" t="s">
        <v>32</v>
      </c>
      <c r="AZ11" s="40" t="s">
        <v>32</v>
      </c>
      <c r="BA11" s="40" t="s">
        <v>32</v>
      </c>
      <c r="BB11" s="40" t="s">
        <v>32</v>
      </c>
      <c r="BC11" s="40" t="s">
        <v>32</v>
      </c>
      <c r="BD11" s="40" t="s">
        <v>32</v>
      </c>
      <c r="BE11" s="40" t="s">
        <v>32</v>
      </c>
      <c r="BF11" s="40" t="s">
        <v>32</v>
      </c>
      <c r="BG11" s="40" t="s">
        <v>32</v>
      </c>
      <c r="BH11" s="40" t="s">
        <v>32</v>
      </c>
    </row>
    <row r="12" ht="18.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ht="18.75" customHeight="1">
      <c r="A13" s="1"/>
      <c r="B13" s="70" t="s">
        <v>41</v>
      </c>
      <c r="I13" s="1"/>
      <c r="J13" s="72" t="s">
        <v>42</v>
      </c>
      <c r="K13" s="75" t="s">
        <v>22</v>
      </c>
      <c r="L13" s="75" t="s">
        <v>22</v>
      </c>
      <c r="M13" s="75" t="s">
        <v>22</v>
      </c>
      <c r="N13" s="75" t="s">
        <v>22</v>
      </c>
      <c r="O13" s="75" t="s">
        <v>22</v>
      </c>
      <c r="P13" s="75" t="s">
        <v>38</v>
      </c>
      <c r="Q13" s="75" t="s">
        <v>38</v>
      </c>
      <c r="R13" s="75" t="s">
        <v>38</v>
      </c>
      <c r="S13" s="75" t="s">
        <v>38</v>
      </c>
      <c r="T13" s="75" t="s">
        <v>22</v>
      </c>
      <c r="U13" s="75" t="s">
        <v>22</v>
      </c>
      <c r="V13" s="75" t="s">
        <v>22</v>
      </c>
      <c r="W13" s="75" t="s">
        <v>22</v>
      </c>
      <c r="X13" s="75" t="s">
        <v>22</v>
      </c>
      <c r="Y13" s="75" t="s">
        <v>38</v>
      </c>
      <c r="Z13" s="75" t="s">
        <v>35</v>
      </c>
      <c r="AA13" s="75" t="s">
        <v>35</v>
      </c>
      <c r="AB13" s="75" t="s">
        <v>35</v>
      </c>
      <c r="AC13" s="75" t="s">
        <v>25</v>
      </c>
      <c r="AD13" s="75" t="s">
        <v>25</v>
      </c>
      <c r="AE13" s="75" t="s">
        <v>25</v>
      </c>
      <c r="AF13" s="75" t="s">
        <v>25</v>
      </c>
      <c r="AG13" s="75" t="s">
        <v>25</v>
      </c>
      <c r="AH13" s="75" t="s">
        <v>40</v>
      </c>
      <c r="AI13" s="75" t="s">
        <v>40</v>
      </c>
      <c r="AJ13" s="75" t="s">
        <v>40</v>
      </c>
      <c r="AK13" s="75" t="s">
        <v>40</v>
      </c>
      <c r="AL13" s="75" t="s">
        <v>30</v>
      </c>
      <c r="AM13" s="75" t="s">
        <v>30</v>
      </c>
      <c r="AN13" s="75" t="s">
        <v>30</v>
      </c>
      <c r="AO13" s="75" t="s">
        <v>30</v>
      </c>
      <c r="AP13" s="75" t="s">
        <v>30</v>
      </c>
      <c r="AQ13" s="75" t="s">
        <v>35</v>
      </c>
      <c r="AR13" s="75" t="s">
        <v>35</v>
      </c>
      <c r="AS13" s="75" t="s">
        <v>35</v>
      </c>
      <c r="AT13" s="75" t="s">
        <v>35</v>
      </c>
      <c r="AU13" s="75" t="s">
        <v>35</v>
      </c>
      <c r="AV13" s="75" t="s">
        <v>25</v>
      </c>
      <c r="AW13" s="75" t="s">
        <v>25</v>
      </c>
      <c r="AX13" s="75" t="s">
        <v>40</v>
      </c>
      <c r="AY13" s="75" t="s">
        <v>30</v>
      </c>
      <c r="AZ13" s="75" t="s">
        <v>30</v>
      </c>
      <c r="BA13" s="75" t="s">
        <v>30</v>
      </c>
      <c r="BB13" s="75" t="s">
        <v>30</v>
      </c>
      <c r="BC13" s="80"/>
      <c r="BD13" s="80"/>
      <c r="BE13" s="80"/>
      <c r="BF13" s="80"/>
      <c r="BG13" s="80"/>
      <c r="BH13" s="81"/>
    </row>
    <row r="14" ht="18.75" customHeight="1">
      <c r="A14" s="1"/>
      <c r="I14" s="1"/>
      <c r="J14" s="83" t="s">
        <v>43</v>
      </c>
      <c r="K14" s="85" t="s">
        <v>22</v>
      </c>
      <c r="L14" s="85" t="s">
        <v>35</v>
      </c>
      <c r="M14" s="85" t="s">
        <v>35</v>
      </c>
      <c r="N14" s="85" t="s">
        <v>35</v>
      </c>
      <c r="O14" s="85" t="s">
        <v>35</v>
      </c>
      <c r="P14" s="85" t="s">
        <v>35</v>
      </c>
      <c r="Q14" s="85" t="s">
        <v>35</v>
      </c>
      <c r="R14" s="85" t="s">
        <v>35</v>
      </c>
      <c r="S14" s="85" t="s">
        <v>35</v>
      </c>
      <c r="T14" s="85" t="s">
        <v>35</v>
      </c>
      <c r="U14" s="85" t="s">
        <v>35</v>
      </c>
      <c r="V14" s="85" t="s">
        <v>35</v>
      </c>
      <c r="W14" s="85" t="s">
        <v>35</v>
      </c>
      <c r="X14" s="85" t="s">
        <v>35</v>
      </c>
      <c r="Y14" s="85" t="s">
        <v>35</v>
      </c>
      <c r="Z14" s="85" t="s">
        <v>35</v>
      </c>
      <c r="AA14" s="85" t="s">
        <v>25</v>
      </c>
      <c r="AB14" s="85" t="s">
        <v>25</v>
      </c>
      <c r="AC14" s="85" t="s">
        <v>25</v>
      </c>
      <c r="AD14" s="85" t="s">
        <v>30</v>
      </c>
      <c r="AE14" s="85" t="s">
        <v>30</v>
      </c>
      <c r="AF14" s="85" t="s">
        <v>30</v>
      </c>
      <c r="AG14" s="85" t="s">
        <v>30</v>
      </c>
      <c r="AH14" s="85" t="s">
        <v>30</v>
      </c>
      <c r="AI14" s="85" t="s">
        <v>30</v>
      </c>
      <c r="AJ14" s="85" t="s">
        <v>30</v>
      </c>
      <c r="AK14" s="85" t="s">
        <v>30</v>
      </c>
      <c r="AL14" s="85" t="s">
        <v>30</v>
      </c>
      <c r="AM14" s="85" t="s">
        <v>35</v>
      </c>
      <c r="AN14" s="85" t="s">
        <v>35</v>
      </c>
      <c r="AO14" s="85" t="s">
        <v>35</v>
      </c>
      <c r="AP14" s="85" t="s">
        <v>35</v>
      </c>
      <c r="AQ14" s="85" t="s">
        <v>35</v>
      </c>
      <c r="AR14" s="85" t="s">
        <v>25</v>
      </c>
      <c r="AS14" s="85" t="s">
        <v>25</v>
      </c>
      <c r="AT14" s="85" t="s">
        <v>25</v>
      </c>
      <c r="AU14" s="85" t="s">
        <v>25</v>
      </c>
      <c r="AV14" s="85" t="s">
        <v>25</v>
      </c>
      <c r="AW14" s="85" t="s">
        <v>40</v>
      </c>
      <c r="AX14" s="85" t="s">
        <v>40</v>
      </c>
      <c r="AY14" s="85" t="s">
        <v>30</v>
      </c>
      <c r="AZ14" s="87"/>
      <c r="BA14" s="87"/>
      <c r="BB14" s="87"/>
      <c r="BC14" s="87"/>
      <c r="BD14" s="87"/>
      <c r="BE14" s="87"/>
      <c r="BF14" s="87"/>
      <c r="BG14" s="87"/>
      <c r="BH14" s="88"/>
    </row>
    <row r="15" ht="18.75" customHeight="1">
      <c r="A15" s="1"/>
      <c r="I15" s="1"/>
      <c r="J15" s="23"/>
      <c r="K15" s="85" t="s">
        <v>35</v>
      </c>
      <c r="L15" s="85" t="s">
        <v>25</v>
      </c>
      <c r="M15" s="85" t="s">
        <v>25</v>
      </c>
      <c r="N15" s="85" t="s">
        <v>25</v>
      </c>
      <c r="O15" s="85" t="s">
        <v>25</v>
      </c>
      <c r="P15" s="85" t="s">
        <v>25</v>
      </c>
      <c r="Q15" s="85" t="s">
        <v>25</v>
      </c>
      <c r="R15" s="85" t="s">
        <v>25</v>
      </c>
      <c r="S15" s="85" t="s">
        <v>25</v>
      </c>
      <c r="T15" s="85" t="s">
        <v>25</v>
      </c>
      <c r="U15" s="85" t="s">
        <v>25</v>
      </c>
      <c r="V15" s="85" t="s">
        <v>25</v>
      </c>
      <c r="W15" s="85" t="s">
        <v>25</v>
      </c>
      <c r="X15" s="85" t="s">
        <v>25</v>
      </c>
      <c r="Y15" s="85" t="s">
        <v>25</v>
      </c>
      <c r="Z15" s="85" t="s">
        <v>25</v>
      </c>
      <c r="AA15" s="89" t="s">
        <v>30</v>
      </c>
      <c r="AB15" s="89" t="s">
        <v>30</v>
      </c>
      <c r="AC15" s="89" t="s">
        <v>30</v>
      </c>
      <c r="AD15" s="85" t="s">
        <v>40</v>
      </c>
      <c r="AE15" s="85" t="s">
        <v>40</v>
      </c>
      <c r="AF15" s="85" t="s">
        <v>40</v>
      </c>
      <c r="AG15" s="85" t="s">
        <v>40</v>
      </c>
      <c r="AH15" s="85" t="s">
        <v>40</v>
      </c>
      <c r="AI15" s="85" t="s">
        <v>35</v>
      </c>
      <c r="AJ15" s="85" t="s">
        <v>35</v>
      </c>
      <c r="AK15" s="85" t="s">
        <v>35</v>
      </c>
      <c r="AL15" s="85" t="s">
        <v>35</v>
      </c>
      <c r="AM15" s="85" t="s">
        <v>25</v>
      </c>
      <c r="AN15" s="85" t="s">
        <v>25</v>
      </c>
      <c r="AO15" s="85" t="s">
        <v>25</v>
      </c>
      <c r="AP15" s="85" t="s">
        <v>25</v>
      </c>
      <c r="AQ15" s="85" t="s">
        <v>25</v>
      </c>
      <c r="AR15" s="85" t="s">
        <v>40</v>
      </c>
      <c r="AS15" s="85" t="s">
        <v>40</v>
      </c>
      <c r="AT15" s="85" t="s">
        <v>40</v>
      </c>
      <c r="AU15" s="85" t="s">
        <v>40</v>
      </c>
      <c r="AV15" s="85" t="s">
        <v>40</v>
      </c>
      <c r="AW15" s="85" t="s">
        <v>30</v>
      </c>
      <c r="AX15" s="85" t="s">
        <v>30</v>
      </c>
      <c r="AY15" s="87"/>
      <c r="AZ15" s="87"/>
      <c r="BA15" s="87"/>
      <c r="BB15" s="87"/>
      <c r="BC15" s="87"/>
      <c r="BD15" s="87"/>
      <c r="BE15" s="87"/>
      <c r="BF15" s="87"/>
      <c r="BG15" s="87"/>
      <c r="BH15" s="88"/>
    </row>
    <row r="16" ht="18.75" customHeight="1">
      <c r="A16" s="1"/>
      <c r="B16" s="1"/>
      <c r="C16" s="1"/>
      <c r="D16" s="1"/>
      <c r="E16" s="1"/>
      <c r="F16" s="1"/>
      <c r="G16" s="1"/>
      <c r="H16" s="1"/>
      <c r="I16" s="1"/>
      <c r="J16" s="23"/>
      <c r="K16" s="87"/>
      <c r="L16" s="87"/>
      <c r="M16" s="87"/>
      <c r="N16" s="87"/>
      <c r="O16" s="87"/>
      <c r="P16" s="85" t="s">
        <v>30</v>
      </c>
      <c r="Q16" s="85" t="s">
        <v>30</v>
      </c>
      <c r="R16" s="85" t="s">
        <v>30</v>
      </c>
      <c r="S16" s="85" t="s">
        <v>30</v>
      </c>
      <c r="T16" s="85" t="s">
        <v>30</v>
      </c>
      <c r="U16" s="85" t="s">
        <v>30</v>
      </c>
      <c r="V16" s="85" t="s">
        <v>30</v>
      </c>
      <c r="W16" s="85" t="s">
        <v>30</v>
      </c>
      <c r="X16" s="85" t="s">
        <v>30</v>
      </c>
      <c r="Y16" s="85" t="s">
        <v>30</v>
      </c>
      <c r="Z16" s="93" t="s">
        <v>30</v>
      </c>
      <c r="AA16" s="95" t="s">
        <v>40</v>
      </c>
      <c r="AB16" s="97" t="s">
        <v>40</v>
      </c>
      <c r="AC16" s="97" t="s">
        <v>40</v>
      </c>
      <c r="AD16" s="98"/>
      <c r="AE16" s="87"/>
      <c r="AF16" s="85" t="s">
        <v>35</v>
      </c>
      <c r="AG16" s="85" t="s">
        <v>35</v>
      </c>
      <c r="AH16" s="85" t="s">
        <v>35</v>
      </c>
      <c r="AI16" s="87"/>
      <c r="AJ16" s="87"/>
      <c r="AK16" s="85" t="s">
        <v>25</v>
      </c>
      <c r="AL16" s="85" t="s">
        <v>25</v>
      </c>
      <c r="AM16" s="87"/>
      <c r="AN16" s="87"/>
      <c r="AO16" s="87"/>
      <c r="AP16" s="85" t="s">
        <v>40</v>
      </c>
      <c r="AQ16" s="85" t="s">
        <v>40</v>
      </c>
      <c r="AR16" s="87"/>
      <c r="AS16" s="87"/>
      <c r="AT16" s="85" t="s">
        <v>30</v>
      </c>
      <c r="AU16" s="85" t="s">
        <v>30</v>
      </c>
      <c r="AV16" s="85" t="s">
        <v>30</v>
      </c>
      <c r="AW16" s="87"/>
      <c r="AX16" s="87"/>
      <c r="AY16" s="87"/>
      <c r="AZ16" s="87"/>
      <c r="BA16" s="87"/>
      <c r="BB16" s="87"/>
      <c r="BC16" s="87"/>
      <c r="BD16" s="87"/>
      <c r="BE16" s="87"/>
      <c r="BF16" s="87"/>
      <c r="BG16" s="87"/>
      <c r="BH16" s="88"/>
    </row>
    <row r="17" ht="18.75" customHeight="1">
      <c r="A17" s="1"/>
      <c r="B17" s="1"/>
      <c r="C17" s="1"/>
      <c r="D17" s="1"/>
      <c r="E17" s="1"/>
      <c r="F17" s="1"/>
      <c r="G17" s="1"/>
      <c r="H17" s="1"/>
      <c r="I17" s="1"/>
      <c r="J17" s="23"/>
      <c r="K17" s="99"/>
      <c r="L17" s="99"/>
      <c r="M17" s="99"/>
      <c r="N17" s="99"/>
      <c r="O17" s="99"/>
      <c r="P17" s="100" t="s">
        <v>38</v>
      </c>
      <c r="Q17" s="100" t="s">
        <v>40</v>
      </c>
      <c r="R17" s="100" t="s">
        <v>40</v>
      </c>
      <c r="S17" s="100" t="s">
        <v>40</v>
      </c>
      <c r="T17" s="100" t="s">
        <v>40</v>
      </c>
      <c r="U17" s="100" t="s">
        <v>40</v>
      </c>
      <c r="V17" s="100" t="s">
        <v>40</v>
      </c>
      <c r="W17" s="100" t="s">
        <v>40</v>
      </c>
      <c r="X17" s="100" t="s">
        <v>40</v>
      </c>
      <c r="Y17" s="100" t="s">
        <v>40</v>
      </c>
      <c r="Z17" s="100" t="s">
        <v>40</v>
      </c>
      <c r="AA17" s="101"/>
      <c r="AB17" s="101"/>
      <c r="AC17" s="101"/>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106"/>
    </row>
    <row r="18" ht="18.75" customHeight="1">
      <c r="A18" s="1"/>
      <c r="B18" s="1"/>
      <c r="C18" s="1"/>
      <c r="D18" s="1"/>
      <c r="E18" s="1"/>
      <c r="F18" s="1"/>
      <c r="G18" s="1"/>
      <c r="H18" s="1"/>
      <c r="I18" s="1"/>
      <c r="J18" s="102"/>
      <c r="K18" s="101"/>
      <c r="L18" s="101"/>
      <c r="M18" s="101"/>
      <c r="N18" s="101"/>
      <c r="O18" s="101"/>
      <c r="P18" s="109" t="s">
        <v>40</v>
      </c>
      <c r="Q18" s="109" t="s">
        <v>22</v>
      </c>
      <c r="R18" s="109" t="s">
        <v>22</v>
      </c>
      <c r="S18" s="109" t="s">
        <v>22</v>
      </c>
      <c r="T18" s="109" t="s">
        <v>22</v>
      </c>
      <c r="U18" s="101"/>
      <c r="V18" s="101"/>
      <c r="W18" s="101"/>
      <c r="X18" s="109" t="s">
        <v>38</v>
      </c>
      <c r="Y18" s="109" t="s">
        <v>38</v>
      </c>
      <c r="Z18" s="109"/>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row>
    <row r="19" ht="15.75" customHeight="1">
      <c r="A19" s="1"/>
      <c r="B19" s="1"/>
      <c r="C19" s="1"/>
      <c r="D19" s="1"/>
      <c r="E19" s="1"/>
      <c r="F19" s="1"/>
      <c r="G19" s="1"/>
      <c r="H19" s="1"/>
      <c r="I19" s="111" t="s">
        <v>49</v>
      </c>
      <c r="J19" s="112"/>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ht="15.75" customHeight="1">
      <c r="A20" s="1"/>
      <c r="B20" s="1"/>
      <c r="C20" s="1"/>
      <c r="D20" s="1"/>
      <c r="E20" s="1"/>
      <c r="F20" s="1"/>
      <c r="G20" s="1"/>
      <c r="H20" s="1"/>
      <c r="I20" s="113" t="s">
        <v>50</v>
      </c>
      <c r="J20" s="14"/>
      <c r="K20" s="37" t="s">
        <v>26</v>
      </c>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ht="15.75" customHeight="1">
      <c r="A21" s="1"/>
      <c r="B21" s="1"/>
      <c r="C21" s="1"/>
      <c r="D21" s="1"/>
      <c r="E21" s="1"/>
      <c r="F21" s="1"/>
      <c r="G21" s="1"/>
      <c r="H21" s="1"/>
      <c r="I21" s="114" t="s">
        <v>51</v>
      </c>
      <c r="J21" s="115"/>
      <c r="K21" s="38" t="s">
        <v>29</v>
      </c>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ht="15.75" customHeight="1">
      <c r="A22" s="1"/>
      <c r="B22" s="1"/>
      <c r="C22" s="1"/>
      <c r="D22" s="1"/>
      <c r="E22" s="1"/>
      <c r="F22" s="1"/>
      <c r="G22" s="1"/>
      <c r="H22" s="1"/>
      <c r="I22" s="117" t="s">
        <v>52</v>
      </c>
      <c r="J22" s="115"/>
      <c r="K22" s="39" t="s">
        <v>31</v>
      </c>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ht="15.75" customHeight="1">
      <c r="A23" s="1"/>
      <c r="B23" s="1"/>
      <c r="C23" s="1"/>
      <c r="D23" s="1"/>
      <c r="E23" s="1"/>
      <c r="F23" s="1"/>
      <c r="G23" s="1"/>
      <c r="H23" s="1"/>
      <c r="I23" s="118" t="s">
        <v>39</v>
      </c>
      <c r="J23" s="115"/>
      <c r="K23" s="40" t="s">
        <v>32</v>
      </c>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ht="15.75" customHeight="1">
      <c r="A24" s="1"/>
      <c r="B24" s="1"/>
      <c r="C24" s="1"/>
      <c r="D24" s="1"/>
      <c r="E24" s="1"/>
      <c r="F24" s="1"/>
      <c r="G24" s="1"/>
      <c r="H24" s="1"/>
      <c r="I24" s="113" t="s">
        <v>54</v>
      </c>
      <c r="J24" s="14"/>
      <c r="K24" s="119" t="s">
        <v>26</v>
      </c>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row>
  </sheetData>
  <mergeCells count="15">
    <mergeCell ref="J4:J5"/>
    <mergeCell ref="J14:J18"/>
    <mergeCell ref="I19:J19"/>
    <mergeCell ref="I20:J20"/>
    <mergeCell ref="I21:J21"/>
    <mergeCell ref="I22:J22"/>
    <mergeCell ref="I23:J23"/>
    <mergeCell ref="I24:J24"/>
    <mergeCell ref="B2:H2"/>
    <mergeCell ref="B4:B5"/>
    <mergeCell ref="C4:C5"/>
    <mergeCell ref="D4:G4"/>
    <mergeCell ref="H4:H5"/>
    <mergeCell ref="K4:BH4"/>
    <mergeCell ref="B13:H1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3.75"/>
    <col customWidth="1" min="9" max="9" width="10.38"/>
    <col customWidth="1" min="11" max="88" width="3.75"/>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row>
    <row r="2" ht="15.75" customHeight="1">
      <c r="A2" s="1"/>
      <c r="B2" s="6" t="s">
        <v>55</v>
      </c>
      <c r="C2" s="5"/>
      <c r="D2" s="5"/>
      <c r="E2" s="5"/>
      <c r="F2" s="5"/>
      <c r="G2" s="5"/>
      <c r="H2" s="5"/>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row>
    <row r="4" ht="15.75" customHeight="1">
      <c r="A4" s="1"/>
      <c r="B4" s="8" t="s">
        <v>6</v>
      </c>
      <c r="C4" s="9" t="s">
        <v>8</v>
      </c>
      <c r="D4" s="11" t="s">
        <v>9</v>
      </c>
      <c r="E4" s="12"/>
      <c r="F4" s="12"/>
      <c r="G4" s="14"/>
      <c r="H4" s="15" t="s">
        <v>14</v>
      </c>
      <c r="I4" s="1"/>
      <c r="J4" s="16" t="s">
        <v>15</v>
      </c>
      <c r="K4" s="17" t="s">
        <v>16</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121"/>
      <c r="BJ4" s="121"/>
      <c r="BK4" s="121"/>
      <c r="BL4" s="121"/>
      <c r="BM4" s="121"/>
      <c r="BN4" s="121"/>
      <c r="BO4" s="121"/>
      <c r="BP4" s="121"/>
      <c r="BQ4" s="121"/>
      <c r="BR4" s="121"/>
      <c r="BS4" s="121"/>
      <c r="BT4" s="121"/>
      <c r="BU4" s="121"/>
      <c r="BV4" s="121"/>
      <c r="BW4" s="121"/>
      <c r="BX4" s="121"/>
      <c r="BY4" s="121"/>
      <c r="BZ4" s="121"/>
      <c r="CA4" s="121"/>
      <c r="CB4" s="121"/>
      <c r="CC4" s="121"/>
      <c r="CD4" s="121"/>
      <c r="CE4" s="121"/>
      <c r="CF4" s="121"/>
      <c r="CG4" s="121"/>
      <c r="CH4" s="121"/>
      <c r="CI4" s="121"/>
      <c r="CJ4" s="121"/>
    </row>
    <row r="5" ht="15.75" customHeight="1">
      <c r="A5" s="1"/>
      <c r="B5" s="18"/>
      <c r="C5" s="19"/>
      <c r="D5" s="20" t="s">
        <v>17</v>
      </c>
      <c r="E5" s="20" t="s">
        <v>18</v>
      </c>
      <c r="F5" s="20" t="s">
        <v>17</v>
      </c>
      <c r="G5" s="21" t="s">
        <v>19</v>
      </c>
      <c r="H5" s="19"/>
      <c r="I5" s="1"/>
      <c r="J5" s="23"/>
      <c r="K5" s="25">
        <v>1.0</v>
      </c>
      <c r="L5" s="25">
        <f t="shared" ref="L5:BH5" si="1">+K5+1</f>
        <v>2</v>
      </c>
      <c r="M5" s="25">
        <f t="shared" si="1"/>
        <v>3</v>
      </c>
      <c r="N5" s="25">
        <f t="shared" si="1"/>
        <v>4</v>
      </c>
      <c r="O5" s="25">
        <f t="shared" si="1"/>
        <v>5</v>
      </c>
      <c r="P5" s="25">
        <f t="shared" si="1"/>
        <v>6</v>
      </c>
      <c r="Q5" s="25">
        <f t="shared" si="1"/>
        <v>7</v>
      </c>
      <c r="R5" s="25">
        <f t="shared" si="1"/>
        <v>8</v>
      </c>
      <c r="S5" s="25">
        <f t="shared" si="1"/>
        <v>9</v>
      </c>
      <c r="T5" s="25">
        <f t="shared" si="1"/>
        <v>10</v>
      </c>
      <c r="U5" s="25">
        <f t="shared" si="1"/>
        <v>11</v>
      </c>
      <c r="V5" s="25">
        <f t="shared" si="1"/>
        <v>12</v>
      </c>
      <c r="W5" s="25">
        <f t="shared" si="1"/>
        <v>13</v>
      </c>
      <c r="X5" s="25">
        <f t="shared" si="1"/>
        <v>14</v>
      </c>
      <c r="Y5" s="25">
        <f t="shared" si="1"/>
        <v>15</v>
      </c>
      <c r="Z5" s="25">
        <f t="shared" si="1"/>
        <v>16</v>
      </c>
      <c r="AA5" s="25">
        <f t="shared" si="1"/>
        <v>17</v>
      </c>
      <c r="AB5" s="25">
        <f t="shared" si="1"/>
        <v>18</v>
      </c>
      <c r="AC5" s="25">
        <f t="shared" si="1"/>
        <v>19</v>
      </c>
      <c r="AD5" s="25">
        <f t="shared" si="1"/>
        <v>20</v>
      </c>
      <c r="AE5" s="25">
        <f t="shared" si="1"/>
        <v>21</v>
      </c>
      <c r="AF5" s="25">
        <f t="shared" si="1"/>
        <v>22</v>
      </c>
      <c r="AG5" s="25">
        <f t="shared" si="1"/>
        <v>23</v>
      </c>
      <c r="AH5" s="25">
        <f t="shared" si="1"/>
        <v>24</v>
      </c>
      <c r="AI5" s="25">
        <f t="shared" si="1"/>
        <v>25</v>
      </c>
      <c r="AJ5" s="25">
        <f t="shared" si="1"/>
        <v>26</v>
      </c>
      <c r="AK5" s="25">
        <f t="shared" si="1"/>
        <v>27</v>
      </c>
      <c r="AL5" s="25">
        <f t="shared" si="1"/>
        <v>28</v>
      </c>
      <c r="AM5" s="25">
        <f t="shared" si="1"/>
        <v>29</v>
      </c>
      <c r="AN5" s="25">
        <f t="shared" si="1"/>
        <v>30</v>
      </c>
      <c r="AO5" s="25">
        <f t="shared" si="1"/>
        <v>31</v>
      </c>
      <c r="AP5" s="25">
        <f t="shared" si="1"/>
        <v>32</v>
      </c>
      <c r="AQ5" s="25">
        <f t="shared" si="1"/>
        <v>33</v>
      </c>
      <c r="AR5" s="25">
        <f t="shared" si="1"/>
        <v>34</v>
      </c>
      <c r="AS5" s="25">
        <f t="shared" si="1"/>
        <v>35</v>
      </c>
      <c r="AT5" s="25">
        <f t="shared" si="1"/>
        <v>36</v>
      </c>
      <c r="AU5" s="25">
        <f t="shared" si="1"/>
        <v>37</v>
      </c>
      <c r="AV5" s="25">
        <f t="shared" si="1"/>
        <v>38</v>
      </c>
      <c r="AW5" s="25">
        <f t="shared" si="1"/>
        <v>39</v>
      </c>
      <c r="AX5" s="25">
        <f t="shared" si="1"/>
        <v>40</v>
      </c>
      <c r="AY5" s="25">
        <f t="shared" si="1"/>
        <v>41</v>
      </c>
      <c r="AZ5" s="25">
        <f t="shared" si="1"/>
        <v>42</v>
      </c>
      <c r="BA5" s="25">
        <f t="shared" si="1"/>
        <v>43</v>
      </c>
      <c r="BB5" s="25">
        <f t="shared" si="1"/>
        <v>44</v>
      </c>
      <c r="BC5" s="25">
        <f t="shared" si="1"/>
        <v>45</v>
      </c>
      <c r="BD5" s="25">
        <f t="shared" si="1"/>
        <v>46</v>
      </c>
      <c r="BE5" s="25">
        <f t="shared" si="1"/>
        <v>47</v>
      </c>
      <c r="BF5" s="25">
        <f t="shared" si="1"/>
        <v>48</v>
      </c>
      <c r="BG5" s="25">
        <f t="shared" si="1"/>
        <v>49</v>
      </c>
      <c r="BH5" s="31">
        <f t="shared" si="1"/>
        <v>50</v>
      </c>
      <c r="BI5" s="122"/>
      <c r="BJ5" s="122"/>
      <c r="BK5" s="122"/>
      <c r="BL5" s="122"/>
      <c r="BM5" s="122"/>
      <c r="BN5" s="122"/>
      <c r="BO5" s="122"/>
      <c r="BP5" s="122"/>
      <c r="BQ5" s="122"/>
      <c r="BR5" s="122"/>
      <c r="BS5" s="122"/>
      <c r="BT5" s="122"/>
      <c r="BU5" s="122"/>
      <c r="BV5" s="122"/>
      <c r="BW5" s="122"/>
      <c r="BX5" s="122"/>
      <c r="BY5" s="122"/>
      <c r="BZ5" s="122"/>
      <c r="CA5" s="122"/>
      <c r="CB5" s="122"/>
      <c r="CC5" s="122"/>
      <c r="CD5" s="122"/>
      <c r="CE5" s="122"/>
      <c r="CF5" s="122"/>
      <c r="CG5" s="122"/>
      <c r="CH5" s="122"/>
      <c r="CI5" s="122"/>
      <c r="CJ5" s="122"/>
    </row>
    <row r="6" ht="18.75" customHeight="1">
      <c r="A6" s="1"/>
      <c r="B6" s="29" t="s">
        <v>22</v>
      </c>
      <c r="C6" s="30" t="str">
        <f>'CONFIGURACIÓN'!I6</f>
        <v>t1</v>
      </c>
      <c r="D6" s="30">
        <f>'CONFIGURACIÓN'!J6</f>
        <v>5</v>
      </c>
      <c r="E6" s="30">
        <f>'CONFIGURACIÓN'!K6</f>
        <v>1</v>
      </c>
      <c r="F6" s="30">
        <f>'CONFIGURACIÓN'!L6</f>
        <v>5</v>
      </c>
      <c r="G6" s="33">
        <f t="shared" ref="G6:G11" si="2">IF(D6="","",D6+F6)</f>
        <v>10</v>
      </c>
      <c r="H6" s="30" t="str">
        <f>'CONFIGURACIÓN'!M6</f>
        <v>Media</v>
      </c>
      <c r="I6" s="82"/>
      <c r="J6" s="36" t="str">
        <f t="shared" ref="J6:J11" si="3">+B6</f>
        <v>P1</v>
      </c>
      <c r="K6" s="123" t="s">
        <v>56</v>
      </c>
      <c r="L6" s="123" t="s">
        <v>56</v>
      </c>
      <c r="M6" s="123" t="s">
        <v>56</v>
      </c>
      <c r="N6" s="123" t="s">
        <v>56</v>
      </c>
      <c r="O6" s="123" t="s">
        <v>56</v>
      </c>
      <c r="P6" s="123" t="s">
        <v>56</v>
      </c>
      <c r="Q6" s="123" t="s">
        <v>56</v>
      </c>
      <c r="R6" s="123" t="s">
        <v>56</v>
      </c>
      <c r="S6" s="123" t="s">
        <v>56</v>
      </c>
      <c r="T6" s="123" t="s">
        <v>56</v>
      </c>
      <c r="U6" s="123" t="s">
        <v>56</v>
      </c>
      <c r="V6" s="123" t="s">
        <v>56</v>
      </c>
      <c r="W6" s="123" t="s">
        <v>56</v>
      </c>
      <c r="X6" s="123" t="s">
        <v>56</v>
      </c>
      <c r="Y6" s="123" t="s">
        <v>56</v>
      </c>
      <c r="Z6" s="123" t="s">
        <v>56</v>
      </c>
      <c r="AA6" s="123" t="s">
        <v>56</v>
      </c>
      <c r="AB6" s="123" t="s">
        <v>56</v>
      </c>
      <c r="AC6" s="123" t="s">
        <v>56</v>
      </c>
      <c r="AD6" s="123" t="s">
        <v>56</v>
      </c>
      <c r="AE6" s="123" t="s">
        <v>56</v>
      </c>
      <c r="AF6" s="123" t="s">
        <v>56</v>
      </c>
      <c r="AG6" s="123" t="s">
        <v>56</v>
      </c>
      <c r="AH6" s="123" t="s">
        <v>56</v>
      </c>
      <c r="AI6" s="123" t="s">
        <v>56</v>
      </c>
      <c r="AJ6" s="123" t="s">
        <v>56</v>
      </c>
      <c r="AK6" s="123" t="s">
        <v>56</v>
      </c>
      <c r="AL6" s="123" t="s">
        <v>56</v>
      </c>
      <c r="AM6" s="123" t="s">
        <v>56</v>
      </c>
      <c r="AN6" s="123" t="s">
        <v>56</v>
      </c>
      <c r="AO6" s="124" t="s">
        <v>57</v>
      </c>
      <c r="AP6" s="124" t="s">
        <v>58</v>
      </c>
      <c r="AQ6" s="124" t="s">
        <v>59</v>
      </c>
      <c r="AR6" s="123" t="s">
        <v>60</v>
      </c>
      <c r="AS6" s="123" t="s">
        <v>60</v>
      </c>
      <c r="AT6" s="123" t="s">
        <v>60</v>
      </c>
      <c r="AU6" s="123" t="s">
        <v>60</v>
      </c>
      <c r="AV6" s="124" t="s">
        <v>61</v>
      </c>
      <c r="AW6" s="124" t="s">
        <v>62</v>
      </c>
      <c r="AX6" s="125" t="s">
        <v>63</v>
      </c>
      <c r="AY6" s="124" t="s">
        <v>64</v>
      </c>
      <c r="AZ6" s="124">
        <v>4.0</v>
      </c>
      <c r="BA6" s="124" t="s">
        <v>65</v>
      </c>
      <c r="BB6" s="124" t="s">
        <v>66</v>
      </c>
      <c r="BC6" s="124" t="s">
        <v>67</v>
      </c>
      <c r="BD6" s="126" t="s">
        <v>32</v>
      </c>
      <c r="BE6" s="126" t="s">
        <v>32</v>
      </c>
      <c r="BF6" s="126" t="s">
        <v>32</v>
      </c>
      <c r="BG6" s="126" t="s">
        <v>32</v>
      </c>
      <c r="BH6" s="126" t="s">
        <v>32</v>
      </c>
      <c r="BI6" s="127"/>
      <c r="BJ6" s="127"/>
      <c r="BK6" s="127"/>
      <c r="BL6" s="127"/>
      <c r="BM6" s="127"/>
      <c r="BN6" s="127"/>
      <c r="BO6" s="127"/>
      <c r="BP6" s="127"/>
      <c r="BQ6" s="127"/>
      <c r="BR6" s="127"/>
      <c r="BS6" s="127"/>
      <c r="BT6" s="127"/>
      <c r="BU6" s="127"/>
      <c r="BV6" s="127"/>
      <c r="BW6" s="127"/>
      <c r="BX6" s="127"/>
      <c r="BY6" s="127"/>
      <c r="BZ6" s="127"/>
      <c r="CA6" s="127"/>
      <c r="CB6" s="127"/>
      <c r="CC6" s="127"/>
      <c r="CD6" s="127"/>
      <c r="CE6" s="127"/>
      <c r="CF6" s="127"/>
      <c r="CG6" s="127"/>
      <c r="CH6" s="127"/>
      <c r="CI6" s="127"/>
      <c r="CJ6" s="127"/>
    </row>
    <row r="7" ht="18.75" customHeight="1">
      <c r="A7" s="1"/>
      <c r="B7" s="34" t="s">
        <v>25</v>
      </c>
      <c r="C7" s="35" t="str">
        <f>'CONFIGURACIÓN'!I7</f>
        <v>t2</v>
      </c>
      <c r="D7" s="35">
        <f>'CONFIGURACIÓN'!J7</f>
        <v>5</v>
      </c>
      <c r="E7" s="35">
        <f>'CONFIGURACIÓN'!K7</f>
        <v>3</v>
      </c>
      <c r="F7" s="35">
        <f>'CONFIGURACIÓN'!L7</f>
        <v>2</v>
      </c>
      <c r="G7" s="49">
        <f t="shared" si="2"/>
        <v>7</v>
      </c>
      <c r="H7" s="35" t="str">
        <f>'CONFIGURACIÓN'!M7</f>
        <v>Baja</v>
      </c>
      <c r="I7" s="82"/>
      <c r="J7" s="51" t="str">
        <f t="shared" si="3"/>
        <v>P2</v>
      </c>
      <c r="K7" s="128" t="s">
        <v>68</v>
      </c>
      <c r="L7" s="123" t="s">
        <v>60</v>
      </c>
      <c r="M7" s="123" t="s">
        <v>60</v>
      </c>
      <c r="N7" s="124" t="s">
        <v>61</v>
      </c>
      <c r="O7" s="124" t="s">
        <v>62</v>
      </c>
      <c r="P7" s="124" t="s">
        <v>64</v>
      </c>
      <c r="Q7" s="124" t="s">
        <v>69</v>
      </c>
      <c r="R7" s="124" t="s">
        <v>65</v>
      </c>
      <c r="S7" s="125" t="s">
        <v>70</v>
      </c>
      <c r="T7" s="125" t="s">
        <v>70</v>
      </c>
      <c r="U7" s="125" t="s">
        <v>70</v>
      </c>
      <c r="V7" s="123" t="s">
        <v>71</v>
      </c>
      <c r="W7" s="124" t="s">
        <v>66</v>
      </c>
      <c r="X7" s="124" t="s">
        <v>67</v>
      </c>
      <c r="Y7" s="126" t="s">
        <v>32</v>
      </c>
      <c r="Z7" s="126" t="s">
        <v>32</v>
      </c>
      <c r="AA7" s="126" t="s">
        <v>32</v>
      </c>
      <c r="AB7" s="126" t="s">
        <v>32</v>
      </c>
      <c r="AC7" s="126" t="s">
        <v>32</v>
      </c>
      <c r="AD7" s="126" t="s">
        <v>32</v>
      </c>
      <c r="AE7" s="126" t="s">
        <v>32</v>
      </c>
      <c r="AF7" s="126" t="s">
        <v>32</v>
      </c>
      <c r="AG7" s="126" t="s">
        <v>32</v>
      </c>
      <c r="AH7" s="126" t="s">
        <v>32</v>
      </c>
      <c r="AI7" s="126" t="s">
        <v>32</v>
      </c>
      <c r="AJ7" s="126" t="s">
        <v>32</v>
      </c>
      <c r="AK7" s="126" t="s">
        <v>32</v>
      </c>
      <c r="AL7" s="126" t="s">
        <v>32</v>
      </c>
      <c r="AM7" s="126" t="s">
        <v>32</v>
      </c>
      <c r="AN7" s="126" t="s">
        <v>32</v>
      </c>
      <c r="AO7" s="126" t="s">
        <v>32</v>
      </c>
      <c r="AP7" s="126" t="s">
        <v>32</v>
      </c>
      <c r="AQ7" s="126" t="s">
        <v>32</v>
      </c>
      <c r="AR7" s="126" t="s">
        <v>32</v>
      </c>
      <c r="AS7" s="126" t="s">
        <v>32</v>
      </c>
      <c r="AT7" s="126" t="s">
        <v>32</v>
      </c>
      <c r="AU7" s="126" t="s">
        <v>32</v>
      </c>
      <c r="AV7" s="126" t="s">
        <v>32</v>
      </c>
      <c r="AW7" s="126" t="s">
        <v>32</v>
      </c>
      <c r="AX7" s="126" t="s">
        <v>32</v>
      </c>
      <c r="AY7" s="126" t="s">
        <v>32</v>
      </c>
      <c r="AZ7" s="126" t="s">
        <v>32</v>
      </c>
      <c r="BA7" s="126" t="s">
        <v>32</v>
      </c>
      <c r="BB7" s="126" t="s">
        <v>32</v>
      </c>
      <c r="BC7" s="126" t="s">
        <v>32</v>
      </c>
      <c r="BD7" s="126" t="s">
        <v>32</v>
      </c>
      <c r="BE7" s="126" t="s">
        <v>32</v>
      </c>
      <c r="BF7" s="126" t="s">
        <v>32</v>
      </c>
      <c r="BG7" s="126" t="s">
        <v>32</v>
      </c>
      <c r="BH7" s="126" t="s">
        <v>32</v>
      </c>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7"/>
      <c r="CH7" s="127"/>
      <c r="CI7" s="127"/>
      <c r="CJ7" s="127"/>
    </row>
    <row r="8" ht="18.75" customHeight="1">
      <c r="A8" s="1"/>
      <c r="B8" s="29" t="s">
        <v>30</v>
      </c>
      <c r="C8" s="30" t="str">
        <f>'CONFIGURACIÓN'!I8</f>
        <v>t6</v>
      </c>
      <c r="D8" s="30">
        <f>'CONFIGURACIÓN'!J8</f>
        <v>5</v>
      </c>
      <c r="E8" s="30">
        <f>'CONFIGURACIÓN'!K8</f>
        <v>3</v>
      </c>
      <c r="F8" s="30">
        <f>'CONFIGURACIÓN'!L8</f>
        <v>4</v>
      </c>
      <c r="G8" s="33">
        <f t="shared" si="2"/>
        <v>9</v>
      </c>
      <c r="H8" s="30" t="str">
        <f>'CONFIGURACIÓN'!M8</f>
        <v>Baja</v>
      </c>
      <c r="I8" s="1"/>
      <c r="J8" s="56" t="str">
        <f t="shared" si="3"/>
        <v>P3</v>
      </c>
      <c r="K8" s="128" t="s">
        <v>68</v>
      </c>
      <c r="L8" s="128" t="s">
        <v>68</v>
      </c>
      <c r="M8" s="128" t="s">
        <v>68</v>
      </c>
      <c r="N8" s="128" t="s">
        <v>68</v>
      </c>
      <c r="O8" s="128" t="s">
        <v>68</v>
      </c>
      <c r="P8" s="123" t="s">
        <v>72</v>
      </c>
      <c r="Q8" s="123" t="s">
        <v>72</v>
      </c>
      <c r="R8" s="123" t="s">
        <v>72</v>
      </c>
      <c r="S8" s="123" t="s">
        <v>72</v>
      </c>
      <c r="T8" s="123" t="s">
        <v>72</v>
      </c>
      <c r="U8" s="123" t="s">
        <v>72</v>
      </c>
      <c r="V8" s="123" t="s">
        <v>72</v>
      </c>
      <c r="W8" s="123" t="s">
        <v>72</v>
      </c>
      <c r="X8" s="123" t="s">
        <v>72</v>
      </c>
      <c r="Y8" s="123" t="s">
        <v>72</v>
      </c>
      <c r="Z8" s="123" t="s">
        <v>72</v>
      </c>
      <c r="AA8" s="123" t="s">
        <v>72</v>
      </c>
      <c r="AB8" s="123" t="s">
        <v>72</v>
      </c>
      <c r="AC8" s="123" t="s">
        <v>72</v>
      </c>
      <c r="AD8" s="123" t="s">
        <v>72</v>
      </c>
      <c r="AE8" s="123" t="s">
        <v>72</v>
      </c>
      <c r="AF8" s="123" t="s">
        <v>72</v>
      </c>
      <c r="AG8" s="123" t="s">
        <v>72</v>
      </c>
      <c r="AH8" s="123" t="s">
        <v>72</v>
      </c>
      <c r="AI8" s="123" t="s">
        <v>72</v>
      </c>
      <c r="AJ8" s="124" t="s">
        <v>58</v>
      </c>
      <c r="AK8" s="124" t="s">
        <v>59</v>
      </c>
      <c r="AL8" s="124" t="s">
        <v>61</v>
      </c>
      <c r="AM8" s="124" t="s">
        <v>62</v>
      </c>
      <c r="AN8" s="124" t="s">
        <v>64</v>
      </c>
      <c r="AO8" s="125" t="s">
        <v>73</v>
      </c>
      <c r="AP8" s="125" t="s">
        <v>73</v>
      </c>
      <c r="AQ8" s="125" t="s">
        <v>73</v>
      </c>
      <c r="AR8" s="124" t="s">
        <v>69</v>
      </c>
      <c r="AS8" s="124" t="s">
        <v>65</v>
      </c>
      <c r="AT8" s="124" t="s">
        <v>66</v>
      </c>
      <c r="AU8" s="124" t="s">
        <v>67</v>
      </c>
      <c r="AV8" s="126" t="s">
        <v>32</v>
      </c>
      <c r="AW8" s="126" t="s">
        <v>32</v>
      </c>
      <c r="AX8" s="126" t="s">
        <v>32</v>
      </c>
      <c r="AY8" s="126" t="s">
        <v>32</v>
      </c>
      <c r="AZ8" s="126" t="s">
        <v>32</v>
      </c>
      <c r="BA8" s="126" t="s">
        <v>32</v>
      </c>
      <c r="BB8" s="126" t="s">
        <v>32</v>
      </c>
      <c r="BC8" s="126" t="s">
        <v>32</v>
      </c>
      <c r="BD8" s="126" t="s">
        <v>32</v>
      </c>
      <c r="BE8" s="126" t="s">
        <v>32</v>
      </c>
      <c r="BF8" s="126" t="s">
        <v>32</v>
      </c>
      <c r="BG8" s="126" t="s">
        <v>32</v>
      </c>
      <c r="BH8" s="126" t="s">
        <v>32</v>
      </c>
      <c r="BI8" s="127"/>
      <c r="BJ8" s="127"/>
      <c r="BK8" s="127"/>
      <c r="BL8" s="127"/>
      <c r="BM8" s="127"/>
      <c r="BN8" s="127"/>
      <c r="BO8" s="127"/>
      <c r="BP8" s="127"/>
      <c r="BQ8" s="127"/>
      <c r="BR8" s="127"/>
      <c r="BS8" s="127"/>
      <c r="BT8" s="127"/>
      <c r="BU8" s="127"/>
      <c r="BV8" s="127"/>
      <c r="BW8" s="127"/>
      <c r="BX8" s="127"/>
      <c r="BY8" s="127"/>
      <c r="BZ8" s="127"/>
      <c r="CA8" s="127"/>
      <c r="CB8" s="127"/>
      <c r="CC8" s="127"/>
      <c r="CD8" s="127"/>
      <c r="CE8" s="127"/>
      <c r="CF8" s="127"/>
      <c r="CG8" s="127"/>
      <c r="CH8" s="127"/>
      <c r="CI8" s="127"/>
      <c r="CJ8" s="127"/>
    </row>
    <row r="9" ht="18.75" customHeight="1">
      <c r="A9" s="1"/>
      <c r="B9" s="34" t="s">
        <v>35</v>
      </c>
      <c r="C9" s="35" t="str">
        <f>'CONFIGURACIÓN'!I9</f>
        <v>t1</v>
      </c>
      <c r="D9" s="35">
        <f>'CONFIGURACIÓN'!J9</f>
        <v>3</v>
      </c>
      <c r="E9" s="35">
        <f>'CONFIGURACIÓN'!K9</f>
        <v>3</v>
      </c>
      <c r="F9" s="35">
        <f>'CONFIGURACIÓN'!L9</f>
        <v>5</v>
      </c>
      <c r="G9" s="49">
        <f t="shared" si="2"/>
        <v>8</v>
      </c>
      <c r="H9" s="35" t="str">
        <f>'CONFIGURACIÓN'!M9</f>
        <v>Baja</v>
      </c>
      <c r="I9" s="82"/>
      <c r="J9" s="51" t="str">
        <f t="shared" si="3"/>
        <v>P4</v>
      </c>
      <c r="K9" s="124" t="s">
        <v>59</v>
      </c>
      <c r="L9" s="124" t="s">
        <v>61</v>
      </c>
      <c r="M9" s="124" t="s">
        <v>62</v>
      </c>
      <c r="N9" s="125" t="s">
        <v>63</v>
      </c>
      <c r="O9" s="125" t="s">
        <v>63</v>
      </c>
      <c r="P9" s="125" t="s">
        <v>63</v>
      </c>
      <c r="Q9" s="123" t="s">
        <v>74</v>
      </c>
      <c r="R9" s="123" t="s">
        <v>74</v>
      </c>
      <c r="S9" s="123" t="s">
        <v>74</v>
      </c>
      <c r="T9" s="123" t="s">
        <v>74</v>
      </c>
      <c r="U9" s="123" t="s">
        <v>74</v>
      </c>
      <c r="V9" s="123" t="s">
        <v>74</v>
      </c>
      <c r="W9" s="123" t="s">
        <v>74</v>
      </c>
      <c r="X9" s="123" t="s">
        <v>74</v>
      </c>
      <c r="Y9" s="123" t="s">
        <v>74</v>
      </c>
      <c r="Z9" s="123" t="s">
        <v>74</v>
      </c>
      <c r="AA9" s="123" t="s">
        <v>74</v>
      </c>
      <c r="AB9" s="123" t="s">
        <v>74</v>
      </c>
      <c r="AC9" s="123" t="s">
        <v>74</v>
      </c>
      <c r="AD9" s="124" t="s">
        <v>64</v>
      </c>
      <c r="AE9" s="124" t="s">
        <v>69</v>
      </c>
      <c r="AF9" s="124" t="s">
        <v>65</v>
      </c>
      <c r="AG9" s="124" t="s">
        <v>66</v>
      </c>
      <c r="AH9" s="124" t="s">
        <v>67</v>
      </c>
      <c r="AI9" s="126" t="s">
        <v>32</v>
      </c>
      <c r="AJ9" s="126" t="s">
        <v>32</v>
      </c>
      <c r="AK9" s="126" t="s">
        <v>32</v>
      </c>
      <c r="AL9" s="126" t="s">
        <v>32</v>
      </c>
      <c r="AM9" s="126" t="s">
        <v>32</v>
      </c>
      <c r="AN9" s="126" t="s">
        <v>32</v>
      </c>
      <c r="AO9" s="126" t="s">
        <v>32</v>
      </c>
      <c r="AP9" s="126" t="s">
        <v>32</v>
      </c>
      <c r="AQ9" s="126" t="s">
        <v>32</v>
      </c>
      <c r="AR9" s="126" t="s">
        <v>32</v>
      </c>
      <c r="AS9" s="126" t="s">
        <v>32</v>
      </c>
      <c r="AT9" s="126" t="s">
        <v>32</v>
      </c>
      <c r="AU9" s="126" t="s">
        <v>32</v>
      </c>
      <c r="AV9" s="126" t="s">
        <v>32</v>
      </c>
      <c r="AW9" s="126" t="s">
        <v>32</v>
      </c>
      <c r="AX9" s="126" t="s">
        <v>32</v>
      </c>
      <c r="AY9" s="126" t="s">
        <v>32</v>
      </c>
      <c r="AZ9" s="126" t="s">
        <v>32</v>
      </c>
      <c r="BA9" s="126" t="s">
        <v>32</v>
      </c>
      <c r="BB9" s="126" t="s">
        <v>32</v>
      </c>
      <c r="BC9" s="126" t="s">
        <v>32</v>
      </c>
      <c r="BD9" s="126" t="s">
        <v>32</v>
      </c>
      <c r="BE9" s="126" t="s">
        <v>32</v>
      </c>
      <c r="BF9" s="126" t="s">
        <v>32</v>
      </c>
      <c r="BG9" s="126" t="s">
        <v>32</v>
      </c>
      <c r="BH9" s="126" t="s">
        <v>32</v>
      </c>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7"/>
      <c r="CH9" s="127"/>
      <c r="CI9" s="127"/>
      <c r="CJ9" s="127"/>
    </row>
    <row r="10" ht="18.75" customHeight="1">
      <c r="A10" s="1"/>
      <c r="B10" s="29" t="s">
        <v>38</v>
      </c>
      <c r="C10" s="30" t="str">
        <f>'CONFIGURACIÓN'!I10</f>
        <v>t6</v>
      </c>
      <c r="D10" s="30">
        <f>'CONFIGURACIÓN'!J10</f>
        <v>4</v>
      </c>
      <c r="E10" s="30">
        <f>'CONFIGURACIÓN'!K10</f>
        <v>4</v>
      </c>
      <c r="F10" s="30">
        <f>'CONFIGURACIÓN'!L10</f>
        <v>1</v>
      </c>
      <c r="G10" s="33">
        <f t="shared" si="2"/>
        <v>5</v>
      </c>
      <c r="H10" s="30" t="str">
        <f>'CONFIGURACIÓN'!M10</f>
        <v>Media</v>
      </c>
      <c r="I10" s="1"/>
      <c r="J10" s="56" t="str">
        <f t="shared" si="3"/>
        <v>P5</v>
      </c>
      <c r="K10" s="128" t="s">
        <v>68</v>
      </c>
      <c r="L10" s="128" t="s">
        <v>68</v>
      </c>
      <c r="M10" s="128" t="s">
        <v>68</v>
      </c>
      <c r="N10" s="128" t="s">
        <v>68</v>
      </c>
      <c r="O10" s="128" t="s">
        <v>68</v>
      </c>
      <c r="P10" s="123" t="s">
        <v>74</v>
      </c>
      <c r="Q10" s="123" t="s">
        <v>74</v>
      </c>
      <c r="R10" s="123" t="s">
        <v>74</v>
      </c>
      <c r="S10" s="124" t="s">
        <v>64</v>
      </c>
      <c r="T10" s="124" t="s">
        <v>69</v>
      </c>
      <c r="U10" s="124" t="s">
        <v>65</v>
      </c>
      <c r="V10" s="124" t="s">
        <v>66</v>
      </c>
      <c r="W10" s="125" t="s">
        <v>75</v>
      </c>
      <c r="X10" s="125" t="s">
        <v>75</v>
      </c>
      <c r="Y10" s="125" t="s">
        <v>75</v>
      </c>
      <c r="Z10" s="125" t="s">
        <v>75</v>
      </c>
      <c r="AA10" s="124" t="s">
        <v>67</v>
      </c>
      <c r="AB10" s="126" t="s">
        <v>32</v>
      </c>
      <c r="AC10" s="126" t="s">
        <v>32</v>
      </c>
      <c r="AD10" s="126" t="s">
        <v>32</v>
      </c>
      <c r="AE10" s="126" t="s">
        <v>32</v>
      </c>
      <c r="AF10" s="126" t="s">
        <v>32</v>
      </c>
      <c r="AG10" s="126" t="s">
        <v>32</v>
      </c>
      <c r="AH10" s="126" t="s">
        <v>32</v>
      </c>
      <c r="AI10" s="126" t="s">
        <v>32</v>
      </c>
      <c r="AJ10" s="126" t="s">
        <v>32</v>
      </c>
      <c r="AK10" s="126" t="s">
        <v>32</v>
      </c>
      <c r="AL10" s="126" t="s">
        <v>32</v>
      </c>
      <c r="AM10" s="126" t="s">
        <v>32</v>
      </c>
      <c r="AN10" s="126" t="s">
        <v>32</v>
      </c>
      <c r="AO10" s="126" t="s">
        <v>32</v>
      </c>
      <c r="AP10" s="126" t="s">
        <v>32</v>
      </c>
      <c r="AQ10" s="126" t="s">
        <v>32</v>
      </c>
      <c r="AR10" s="126" t="s">
        <v>32</v>
      </c>
      <c r="AS10" s="126" t="s">
        <v>32</v>
      </c>
      <c r="AT10" s="126" t="s">
        <v>32</v>
      </c>
      <c r="AU10" s="126" t="s">
        <v>32</v>
      </c>
      <c r="AV10" s="126" t="s">
        <v>32</v>
      </c>
      <c r="AW10" s="126" t="s">
        <v>32</v>
      </c>
      <c r="AX10" s="126" t="s">
        <v>32</v>
      </c>
      <c r="AY10" s="126" t="s">
        <v>32</v>
      </c>
      <c r="AZ10" s="126" t="s">
        <v>32</v>
      </c>
      <c r="BA10" s="126" t="s">
        <v>32</v>
      </c>
      <c r="BB10" s="126" t="s">
        <v>32</v>
      </c>
      <c r="BC10" s="126" t="s">
        <v>32</v>
      </c>
      <c r="BD10" s="126" t="s">
        <v>32</v>
      </c>
      <c r="BE10" s="126" t="s">
        <v>32</v>
      </c>
      <c r="BF10" s="126" t="s">
        <v>32</v>
      </c>
      <c r="BG10" s="126" t="s">
        <v>32</v>
      </c>
      <c r="BH10" s="126" t="s">
        <v>32</v>
      </c>
      <c r="BI10" s="127"/>
      <c r="BJ10" s="127"/>
      <c r="BK10" s="127"/>
      <c r="BL10" s="127"/>
      <c r="BM10" s="127"/>
      <c r="BN10" s="127"/>
      <c r="BO10" s="127"/>
      <c r="BP10" s="127"/>
      <c r="BQ10" s="127"/>
      <c r="BR10" s="127"/>
      <c r="BS10" s="127"/>
      <c r="BT10" s="127"/>
      <c r="BU10" s="127"/>
      <c r="BV10" s="127"/>
      <c r="BW10" s="127"/>
      <c r="BX10" s="127"/>
      <c r="BY10" s="127"/>
      <c r="BZ10" s="127"/>
      <c r="CA10" s="127"/>
      <c r="CB10" s="127"/>
      <c r="CC10" s="127"/>
      <c r="CD10" s="127"/>
      <c r="CE10" s="127"/>
      <c r="CF10" s="127"/>
      <c r="CG10" s="127"/>
      <c r="CH10" s="127"/>
      <c r="CI10" s="127"/>
      <c r="CJ10" s="127"/>
    </row>
    <row r="11" ht="18.75" customHeight="1">
      <c r="A11" s="1"/>
      <c r="B11" s="34" t="s">
        <v>40</v>
      </c>
      <c r="C11" s="35" t="str">
        <f>'CONFIGURACIÓN'!I11</f>
        <v>t6</v>
      </c>
      <c r="D11" s="35">
        <f>'CONFIGURACIÓN'!J11</f>
        <v>4</v>
      </c>
      <c r="E11" s="35">
        <f>'CONFIGURACIÓN'!K11</f>
        <v>4</v>
      </c>
      <c r="F11" s="35">
        <f>'CONFIGURACIÓN'!L11</f>
        <v>1</v>
      </c>
      <c r="G11" s="49">
        <f t="shared" si="2"/>
        <v>5</v>
      </c>
      <c r="H11" s="35" t="str">
        <f>'CONFIGURACIÓN'!M11</f>
        <v>Baja</v>
      </c>
      <c r="I11" s="1"/>
      <c r="J11" s="67" t="str">
        <f t="shared" si="3"/>
        <v>P6</v>
      </c>
      <c r="K11" s="128" t="s">
        <v>68</v>
      </c>
      <c r="L11" s="128" t="s">
        <v>68</v>
      </c>
      <c r="M11" s="128" t="s">
        <v>68</v>
      </c>
      <c r="N11" s="128" t="s">
        <v>68</v>
      </c>
      <c r="O11" s="128" t="s">
        <v>68</v>
      </c>
      <c r="P11" s="123" t="s">
        <v>74</v>
      </c>
      <c r="Q11" s="123" t="s">
        <v>74</v>
      </c>
      <c r="R11" s="123" t="s">
        <v>74</v>
      </c>
      <c r="S11" s="123" t="s">
        <v>74</v>
      </c>
      <c r="T11" s="123" t="s">
        <v>74</v>
      </c>
      <c r="U11" s="123" t="s">
        <v>74</v>
      </c>
      <c r="V11" s="123" t="s">
        <v>74</v>
      </c>
      <c r="W11" s="123" t="s">
        <v>74</v>
      </c>
      <c r="X11" s="123" t="s">
        <v>74</v>
      </c>
      <c r="Y11" s="124" t="s">
        <v>64</v>
      </c>
      <c r="Z11" s="124" t="s">
        <v>69</v>
      </c>
      <c r="AA11" s="123" t="s">
        <v>76</v>
      </c>
      <c r="AB11" s="124" t="s">
        <v>65</v>
      </c>
      <c r="AC11" s="124" t="s">
        <v>66</v>
      </c>
      <c r="AD11" s="125" t="s">
        <v>75</v>
      </c>
      <c r="AE11" s="125" t="s">
        <v>75</v>
      </c>
      <c r="AF11" s="125" t="s">
        <v>75</v>
      </c>
      <c r="AG11" s="125" t="s">
        <v>75</v>
      </c>
      <c r="AH11" s="123" t="s">
        <v>77</v>
      </c>
      <c r="AI11" s="124" t="s">
        <v>67</v>
      </c>
      <c r="AJ11" s="126" t="s">
        <v>32</v>
      </c>
      <c r="AK11" s="126" t="s">
        <v>32</v>
      </c>
      <c r="AL11" s="126" t="s">
        <v>32</v>
      </c>
      <c r="AM11" s="126" t="s">
        <v>32</v>
      </c>
      <c r="AN11" s="126" t="s">
        <v>32</v>
      </c>
      <c r="AO11" s="126" t="s">
        <v>32</v>
      </c>
      <c r="AP11" s="126" t="s">
        <v>32</v>
      </c>
      <c r="AQ11" s="126" t="s">
        <v>32</v>
      </c>
      <c r="AR11" s="126" t="s">
        <v>32</v>
      </c>
      <c r="AS11" s="126" t="s">
        <v>32</v>
      </c>
      <c r="AT11" s="126" t="s">
        <v>32</v>
      </c>
      <c r="AU11" s="126" t="s">
        <v>32</v>
      </c>
      <c r="AV11" s="126" t="s">
        <v>32</v>
      </c>
      <c r="AW11" s="126" t="s">
        <v>32</v>
      </c>
      <c r="AX11" s="126" t="s">
        <v>32</v>
      </c>
      <c r="AY11" s="126" t="s">
        <v>32</v>
      </c>
      <c r="AZ11" s="126" t="s">
        <v>32</v>
      </c>
      <c r="BA11" s="126" t="s">
        <v>32</v>
      </c>
      <c r="BB11" s="126" t="s">
        <v>32</v>
      </c>
      <c r="BC11" s="126" t="s">
        <v>32</v>
      </c>
      <c r="BD11" s="126" t="s">
        <v>32</v>
      </c>
      <c r="BE11" s="126" t="s">
        <v>32</v>
      </c>
      <c r="BF11" s="126" t="s">
        <v>32</v>
      </c>
      <c r="BG11" s="126" t="s">
        <v>32</v>
      </c>
      <c r="BH11" s="126" t="s">
        <v>32</v>
      </c>
      <c r="BI11" s="127"/>
      <c r="BJ11" s="127"/>
      <c r="BK11" s="127"/>
      <c r="BL11" s="127"/>
      <c r="BM11" s="127"/>
      <c r="BN11" s="127"/>
      <c r="BO11" s="127"/>
      <c r="BP11" s="127"/>
      <c r="BQ11" s="127"/>
      <c r="BR11" s="127"/>
      <c r="BS11" s="127"/>
      <c r="BT11" s="127"/>
      <c r="BU11" s="127"/>
      <c r="BV11" s="127"/>
      <c r="BW11" s="127"/>
      <c r="BX11" s="127"/>
      <c r="BY11" s="127"/>
      <c r="BZ11" s="127"/>
      <c r="CA11" s="127"/>
      <c r="CB11" s="127"/>
      <c r="CC11" s="127"/>
      <c r="CD11" s="127"/>
      <c r="CE11" s="127"/>
      <c r="CF11" s="127"/>
      <c r="CG11" s="127"/>
      <c r="CH11" s="127"/>
      <c r="CI11" s="127"/>
      <c r="CJ11" s="127"/>
    </row>
    <row r="12" ht="18.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row>
    <row r="13" ht="18.75" customHeight="1">
      <c r="A13" s="1"/>
      <c r="B13" s="1"/>
      <c r="C13" s="1"/>
      <c r="D13" s="1"/>
      <c r="E13" s="1"/>
      <c r="F13" s="1"/>
      <c r="G13" s="1"/>
      <c r="H13" s="1"/>
      <c r="I13" s="1"/>
      <c r="J13" s="72" t="s">
        <v>42</v>
      </c>
      <c r="K13" s="129" t="s">
        <v>78</v>
      </c>
      <c r="L13" s="129" t="s">
        <v>79</v>
      </c>
      <c r="M13" s="129" t="s">
        <v>80</v>
      </c>
      <c r="N13" s="129" t="s">
        <v>81</v>
      </c>
      <c r="O13" s="129" t="s">
        <v>82</v>
      </c>
      <c r="P13" s="129" t="s">
        <v>83</v>
      </c>
      <c r="Q13" s="129" t="s">
        <v>84</v>
      </c>
      <c r="R13" s="129" t="s">
        <v>85</v>
      </c>
      <c r="S13" s="129" t="s">
        <v>86</v>
      </c>
      <c r="T13" s="129" t="s">
        <v>87</v>
      </c>
      <c r="U13" s="129" t="s">
        <v>88</v>
      </c>
      <c r="V13" s="129" t="s">
        <v>89</v>
      </c>
      <c r="W13" s="129" t="s">
        <v>90</v>
      </c>
      <c r="X13" s="129" t="s">
        <v>91</v>
      </c>
      <c r="Y13" s="129" t="s">
        <v>92</v>
      </c>
      <c r="Z13" s="129" t="s">
        <v>93</v>
      </c>
      <c r="AA13" s="129" t="s">
        <v>94</v>
      </c>
      <c r="AB13" s="129" t="s">
        <v>95</v>
      </c>
      <c r="AC13" s="129" t="s">
        <v>96</v>
      </c>
      <c r="AD13" s="129" t="s">
        <v>97</v>
      </c>
      <c r="AE13" s="129" t="s">
        <v>98</v>
      </c>
      <c r="AF13" s="129" t="s">
        <v>99</v>
      </c>
      <c r="AG13" s="129" t="s">
        <v>100</v>
      </c>
      <c r="AH13" s="129" t="s">
        <v>101</v>
      </c>
      <c r="AI13" s="129" t="s">
        <v>102</v>
      </c>
      <c r="AJ13" s="129" t="s">
        <v>103</v>
      </c>
      <c r="AK13" s="129" t="s">
        <v>104</v>
      </c>
      <c r="AL13" s="129" t="s">
        <v>105</v>
      </c>
      <c r="AM13" s="129" t="s">
        <v>106</v>
      </c>
      <c r="AN13" s="129" t="s">
        <v>107</v>
      </c>
      <c r="AO13" s="129" t="s">
        <v>108</v>
      </c>
      <c r="AP13" s="129" t="s">
        <v>109</v>
      </c>
      <c r="AQ13" s="129" t="s">
        <v>110</v>
      </c>
      <c r="AR13" s="129" t="s">
        <v>111</v>
      </c>
      <c r="AS13" s="129" t="s">
        <v>112</v>
      </c>
      <c r="AT13" s="129" t="s">
        <v>113</v>
      </c>
      <c r="AU13" s="129" t="s">
        <v>114</v>
      </c>
      <c r="AV13" s="129" t="s">
        <v>115</v>
      </c>
      <c r="AW13" s="129" t="s">
        <v>116</v>
      </c>
      <c r="AX13" s="129" t="s">
        <v>117</v>
      </c>
      <c r="AY13" s="129" t="s">
        <v>118</v>
      </c>
      <c r="AZ13" s="129" t="s">
        <v>119</v>
      </c>
      <c r="BA13" s="129" t="s">
        <v>120</v>
      </c>
      <c r="BB13" s="129" t="s">
        <v>121</v>
      </c>
      <c r="BC13" s="129" t="s">
        <v>122</v>
      </c>
      <c r="BD13" s="1"/>
      <c r="BE13" s="1"/>
      <c r="BF13" s="1"/>
      <c r="BG13" s="1"/>
      <c r="BH13" s="1"/>
      <c r="BI13" s="1"/>
      <c r="BJ13" s="1"/>
      <c r="BK13" s="130"/>
      <c r="BL13" s="130"/>
      <c r="BM13" s="130"/>
      <c r="BN13" s="130"/>
      <c r="BO13" s="130"/>
      <c r="BP13" s="130"/>
      <c r="BQ13" s="130"/>
      <c r="BR13" s="130"/>
      <c r="BS13" s="130"/>
      <c r="BT13" s="130"/>
      <c r="BU13" s="130"/>
      <c r="BV13" s="130"/>
      <c r="BW13" s="130"/>
      <c r="BX13" s="130"/>
      <c r="BY13" s="130"/>
      <c r="BZ13" s="130"/>
      <c r="CA13" s="130"/>
      <c r="CB13" s="130"/>
      <c r="CC13" s="130"/>
      <c r="CD13" s="130"/>
      <c r="CE13" s="130"/>
      <c r="CF13" s="130"/>
      <c r="CG13" s="130"/>
      <c r="CH13" s="130"/>
      <c r="CI13" s="130"/>
      <c r="CJ13" s="131"/>
    </row>
    <row r="14" ht="18.75" customHeight="1">
      <c r="A14" s="1"/>
      <c r="B14" s="1"/>
      <c r="C14" s="1"/>
      <c r="D14" s="1"/>
      <c r="E14" s="1"/>
      <c r="F14" s="1"/>
      <c r="G14" s="1"/>
      <c r="H14" s="1"/>
      <c r="I14" s="1"/>
      <c r="J14" s="83" t="s">
        <v>43</v>
      </c>
      <c r="K14" s="132" t="s">
        <v>123</v>
      </c>
      <c r="L14" s="132" t="s">
        <v>124</v>
      </c>
      <c r="M14" s="132" t="s">
        <v>124</v>
      </c>
      <c r="N14" s="132" t="s">
        <v>123</v>
      </c>
      <c r="O14" s="132" t="s">
        <v>123</v>
      </c>
      <c r="P14" s="132" t="s">
        <v>125</v>
      </c>
      <c r="Q14" s="132" t="s">
        <v>125</v>
      </c>
      <c r="R14" s="132" t="s">
        <v>125</v>
      </c>
      <c r="S14" s="132" t="s">
        <v>126</v>
      </c>
      <c r="T14" s="132" t="s">
        <v>126</v>
      </c>
      <c r="U14" s="132" t="s">
        <v>126</v>
      </c>
      <c r="V14" s="132" t="s">
        <v>127</v>
      </c>
      <c r="W14" s="132" t="s">
        <v>126</v>
      </c>
      <c r="X14" s="132" t="s">
        <v>126</v>
      </c>
      <c r="Y14" s="132" t="s">
        <v>128</v>
      </c>
      <c r="Z14" s="132" t="s">
        <v>128</v>
      </c>
      <c r="AA14" s="132" t="s">
        <v>129</v>
      </c>
      <c r="AB14" s="132" t="s">
        <v>128</v>
      </c>
      <c r="AC14" s="132" t="s">
        <v>128</v>
      </c>
      <c r="AD14" s="132" t="s">
        <v>130</v>
      </c>
      <c r="AE14" s="132" t="s">
        <v>130</v>
      </c>
      <c r="AF14" s="132" t="s">
        <v>130</v>
      </c>
      <c r="AG14" s="132" t="s">
        <v>130</v>
      </c>
      <c r="AH14" s="132" t="s">
        <v>131</v>
      </c>
      <c r="AI14" s="132" t="s">
        <v>130</v>
      </c>
      <c r="AJ14" s="132" t="s">
        <v>123</v>
      </c>
      <c r="AK14" s="132" t="s">
        <v>123</v>
      </c>
      <c r="AL14" s="132" t="s">
        <v>123</v>
      </c>
      <c r="AM14" s="132" t="s">
        <v>123</v>
      </c>
      <c r="AN14" s="132" t="s">
        <v>123</v>
      </c>
      <c r="AO14" s="133"/>
      <c r="AP14" s="133"/>
      <c r="AQ14" s="133"/>
      <c r="AR14" s="132" t="s">
        <v>132</v>
      </c>
      <c r="AS14" s="132" t="s">
        <v>132</v>
      </c>
      <c r="AT14" s="132" t="s">
        <v>132</v>
      </c>
      <c r="AU14" s="132" t="s">
        <v>132</v>
      </c>
      <c r="AV14" s="133"/>
      <c r="AW14" s="133"/>
      <c r="AX14" s="133"/>
      <c r="AY14" s="133"/>
      <c r="AZ14" s="133"/>
      <c r="BA14" s="133"/>
      <c r="BB14" s="133"/>
      <c r="BC14" s="133"/>
      <c r="BD14" s="1"/>
      <c r="BE14" s="1"/>
      <c r="BF14" s="1"/>
      <c r="BG14" s="1"/>
      <c r="BH14" s="1"/>
      <c r="BI14" s="1"/>
      <c r="BJ14" s="1"/>
      <c r="BK14" s="134"/>
      <c r="BL14" s="134"/>
      <c r="BM14" s="134"/>
      <c r="BN14" s="134"/>
      <c r="BO14" s="134"/>
      <c r="BP14" s="134"/>
      <c r="BQ14" s="134"/>
      <c r="BR14" s="134"/>
      <c r="BS14" s="134"/>
      <c r="BT14" s="134"/>
      <c r="BU14" s="134"/>
      <c r="BV14" s="134"/>
      <c r="BW14" s="134"/>
      <c r="BX14" s="134"/>
      <c r="BY14" s="134"/>
      <c r="BZ14" s="134"/>
      <c r="CA14" s="134"/>
      <c r="CB14" s="134"/>
      <c r="CC14" s="134"/>
      <c r="CD14" s="134"/>
      <c r="CE14" s="134"/>
      <c r="CF14" s="134"/>
      <c r="CG14" s="134"/>
      <c r="CH14" s="134"/>
      <c r="CI14" s="134"/>
      <c r="CJ14" s="135"/>
    </row>
    <row r="15" ht="18.75" customHeight="1">
      <c r="A15" s="1"/>
      <c r="B15" s="1"/>
      <c r="C15" s="1"/>
      <c r="D15" s="1"/>
      <c r="E15" s="1"/>
      <c r="F15" s="1"/>
      <c r="G15" s="1"/>
      <c r="H15" s="1"/>
      <c r="I15" s="1"/>
      <c r="J15" s="23"/>
      <c r="K15" s="136"/>
      <c r="L15" s="132" t="s">
        <v>123</v>
      </c>
      <c r="M15" s="132" t="s">
        <v>123</v>
      </c>
      <c r="N15" s="136"/>
      <c r="O15" s="136"/>
      <c r="P15" s="132" t="s">
        <v>126</v>
      </c>
      <c r="Q15" s="132" t="s">
        <v>126</v>
      </c>
      <c r="R15" s="132" t="s">
        <v>126</v>
      </c>
      <c r="S15" s="132" t="s">
        <v>128</v>
      </c>
      <c r="T15" s="132" t="s">
        <v>128</v>
      </c>
      <c r="U15" s="132" t="s">
        <v>128</v>
      </c>
      <c r="V15" s="132" t="s">
        <v>126</v>
      </c>
      <c r="W15" s="132" t="s">
        <v>128</v>
      </c>
      <c r="X15" s="132" t="s">
        <v>128</v>
      </c>
      <c r="Y15" s="132" t="s">
        <v>130</v>
      </c>
      <c r="Z15" s="132" t="s">
        <v>130</v>
      </c>
      <c r="AA15" s="132" t="s">
        <v>128</v>
      </c>
      <c r="AB15" s="132" t="s">
        <v>130</v>
      </c>
      <c r="AC15" s="132" t="s">
        <v>130</v>
      </c>
      <c r="AD15" s="132" t="s">
        <v>123</v>
      </c>
      <c r="AE15" s="132" t="s">
        <v>123</v>
      </c>
      <c r="AF15" s="132" t="s">
        <v>123</v>
      </c>
      <c r="AG15" s="132" t="s">
        <v>123</v>
      </c>
      <c r="AH15" s="132" t="s">
        <v>130</v>
      </c>
      <c r="AI15" s="132" t="s">
        <v>123</v>
      </c>
      <c r="AJ15" s="136"/>
      <c r="AK15" s="136"/>
      <c r="AL15" s="136"/>
      <c r="AM15" s="136"/>
      <c r="AN15" s="136"/>
      <c r="AO15" s="136"/>
      <c r="AP15" s="136"/>
      <c r="AQ15" s="136"/>
      <c r="AR15" s="136"/>
      <c r="AS15" s="136"/>
      <c r="AT15" s="136"/>
      <c r="AU15" s="136"/>
      <c r="AV15" s="136"/>
      <c r="AW15" s="136"/>
      <c r="AX15" s="136"/>
      <c r="AY15" s="136"/>
      <c r="AZ15" s="136"/>
      <c r="BA15" s="136"/>
      <c r="BB15" s="136"/>
      <c r="BC15" s="136"/>
      <c r="BD15" s="1"/>
      <c r="BE15" s="1"/>
      <c r="BF15" s="1"/>
      <c r="BG15" s="1"/>
      <c r="BH15" s="1"/>
      <c r="BI15" s="1"/>
      <c r="BJ15" s="1"/>
      <c r="BK15" s="134"/>
      <c r="BL15" s="134"/>
      <c r="BM15" s="134"/>
      <c r="BN15" s="134"/>
      <c r="BO15" s="134"/>
      <c r="BP15" s="134"/>
      <c r="BQ15" s="134"/>
      <c r="BR15" s="134"/>
      <c r="BS15" s="134"/>
      <c r="BT15" s="134"/>
      <c r="BU15" s="134"/>
      <c r="BV15" s="134"/>
      <c r="BW15" s="134"/>
      <c r="BX15" s="134"/>
      <c r="BY15" s="134"/>
      <c r="BZ15" s="134"/>
      <c r="CA15" s="134"/>
      <c r="CB15" s="134"/>
      <c r="CC15" s="134"/>
      <c r="CD15" s="134"/>
      <c r="CE15" s="134"/>
      <c r="CF15" s="134"/>
      <c r="CG15" s="134"/>
      <c r="CH15" s="134"/>
      <c r="CI15" s="134"/>
      <c r="CJ15" s="135"/>
    </row>
    <row r="16" ht="18.75" customHeight="1">
      <c r="A16" s="1"/>
      <c r="B16" s="1"/>
      <c r="C16" s="1"/>
      <c r="D16" s="1"/>
      <c r="E16" s="1"/>
      <c r="F16" s="1"/>
      <c r="G16" s="1"/>
      <c r="H16" s="1"/>
      <c r="I16" s="1"/>
      <c r="J16" s="23"/>
      <c r="K16" s="136"/>
      <c r="L16" s="136"/>
      <c r="M16" s="136"/>
      <c r="N16" s="136"/>
      <c r="O16" s="136"/>
      <c r="P16" s="132" t="s">
        <v>130</v>
      </c>
      <c r="Q16" s="132" t="s">
        <v>128</v>
      </c>
      <c r="R16" s="132" t="s">
        <v>128</v>
      </c>
      <c r="S16" s="132" t="s">
        <v>130</v>
      </c>
      <c r="T16" s="132" t="s">
        <v>130</v>
      </c>
      <c r="U16" s="132" t="s">
        <v>130</v>
      </c>
      <c r="V16" s="132" t="s">
        <v>128</v>
      </c>
      <c r="W16" s="132" t="s">
        <v>130</v>
      </c>
      <c r="X16" s="132" t="s">
        <v>130</v>
      </c>
      <c r="Y16" s="132" t="s">
        <v>123</v>
      </c>
      <c r="Z16" s="132" t="s">
        <v>123</v>
      </c>
      <c r="AA16" s="132" t="s">
        <v>130</v>
      </c>
      <c r="AB16" s="132" t="s">
        <v>123</v>
      </c>
      <c r="AC16" s="132" t="s">
        <v>123</v>
      </c>
      <c r="AD16" s="136"/>
      <c r="AE16" s="136"/>
      <c r="AF16" s="136"/>
      <c r="AG16" s="136"/>
      <c r="AH16" s="132" t="s">
        <v>123</v>
      </c>
      <c r="AI16" s="136"/>
      <c r="AJ16" s="136"/>
      <c r="AK16" s="136"/>
      <c r="AL16" s="136"/>
      <c r="AM16" s="136"/>
      <c r="AN16" s="136"/>
      <c r="AO16" s="136"/>
      <c r="AP16" s="136"/>
      <c r="AQ16" s="136"/>
      <c r="AR16" s="136"/>
      <c r="AS16" s="136"/>
      <c r="AT16" s="136"/>
      <c r="AU16" s="136"/>
      <c r="AV16" s="136"/>
      <c r="AW16" s="136"/>
      <c r="AX16" s="136"/>
      <c r="AY16" s="136"/>
      <c r="AZ16" s="136"/>
      <c r="BA16" s="136"/>
      <c r="BB16" s="136"/>
      <c r="BC16" s="136"/>
      <c r="BD16" s="1"/>
      <c r="BE16" s="1"/>
      <c r="BF16" s="1"/>
      <c r="BG16" s="1"/>
      <c r="BH16" s="1"/>
      <c r="BI16" s="1"/>
      <c r="BJ16" s="1"/>
      <c r="BK16" s="134"/>
      <c r="BL16" s="134"/>
      <c r="BM16" s="134"/>
      <c r="BN16" s="134"/>
      <c r="BO16" s="134"/>
      <c r="BP16" s="134"/>
      <c r="BQ16" s="134"/>
      <c r="BR16" s="134"/>
      <c r="BS16" s="134"/>
      <c r="BT16" s="134"/>
      <c r="BU16" s="134"/>
      <c r="BV16" s="134"/>
      <c r="BW16" s="134"/>
      <c r="BX16" s="134"/>
      <c r="BY16" s="134"/>
      <c r="BZ16" s="134"/>
      <c r="CA16" s="134"/>
      <c r="CB16" s="134"/>
      <c r="CC16" s="134"/>
      <c r="CD16" s="134"/>
      <c r="CE16" s="134"/>
      <c r="CF16" s="134"/>
      <c r="CG16" s="134"/>
      <c r="CH16" s="134"/>
      <c r="CI16" s="134"/>
      <c r="CJ16" s="135"/>
    </row>
    <row r="17" ht="18.75" customHeight="1">
      <c r="A17" s="1"/>
      <c r="B17" s="1"/>
      <c r="C17" s="1"/>
      <c r="D17" s="1"/>
      <c r="E17" s="1"/>
      <c r="F17" s="1"/>
      <c r="G17" s="1"/>
      <c r="H17" s="1"/>
      <c r="I17" s="1"/>
      <c r="J17" s="102"/>
      <c r="K17" s="136"/>
      <c r="L17" s="136"/>
      <c r="M17" s="136"/>
      <c r="N17" s="136"/>
      <c r="O17" s="136"/>
      <c r="P17" s="132" t="s">
        <v>123</v>
      </c>
      <c r="Q17" s="132" t="s">
        <v>130</v>
      </c>
      <c r="R17" s="132" t="s">
        <v>130</v>
      </c>
      <c r="S17" s="132" t="s">
        <v>123</v>
      </c>
      <c r="T17" s="132" t="s">
        <v>123</v>
      </c>
      <c r="U17" s="132" t="s">
        <v>123</v>
      </c>
      <c r="V17" s="132" t="s">
        <v>130</v>
      </c>
      <c r="W17" s="132" t="s">
        <v>123</v>
      </c>
      <c r="X17" s="132" t="s">
        <v>123</v>
      </c>
      <c r="Y17" s="136"/>
      <c r="Z17" s="136"/>
      <c r="AA17" s="132" t="s">
        <v>123</v>
      </c>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6"/>
      <c r="BD17" s="1"/>
      <c r="BE17" s="1"/>
      <c r="BF17" s="1"/>
      <c r="BG17" s="1"/>
      <c r="BH17" s="1"/>
      <c r="BI17" s="1"/>
      <c r="BJ17" s="1"/>
      <c r="BK17" s="134"/>
      <c r="BL17" s="134"/>
      <c r="BM17" s="134"/>
      <c r="BN17" s="134"/>
      <c r="BO17" s="134"/>
      <c r="BP17" s="134"/>
      <c r="BQ17" s="134"/>
      <c r="BR17" s="134"/>
      <c r="BS17" s="134"/>
      <c r="BT17" s="134"/>
      <c r="BU17" s="134"/>
      <c r="BV17" s="134"/>
      <c r="BW17" s="134"/>
      <c r="BX17" s="134"/>
      <c r="BY17" s="134"/>
      <c r="BZ17" s="134"/>
      <c r="CA17" s="134"/>
      <c r="CB17" s="134"/>
      <c r="CC17" s="134"/>
      <c r="CD17" s="134"/>
      <c r="CE17" s="134"/>
      <c r="CF17" s="134"/>
      <c r="CG17" s="134"/>
      <c r="CH17" s="134"/>
      <c r="CI17" s="134"/>
      <c r="CJ17" s="135"/>
    </row>
    <row r="18" ht="18.75" customHeight="1">
      <c r="A18" s="1"/>
      <c r="B18" s="1"/>
      <c r="C18" s="1"/>
      <c r="D18" s="1"/>
      <c r="E18" s="1"/>
      <c r="F18" s="1"/>
      <c r="G18" s="1"/>
      <c r="H18" s="1"/>
      <c r="I18" s="1"/>
      <c r="J18" s="1"/>
      <c r="K18" s="136"/>
      <c r="L18" s="136"/>
      <c r="M18" s="136"/>
      <c r="N18" s="136"/>
      <c r="O18" s="136"/>
      <c r="P18" s="136"/>
      <c r="Q18" s="132" t="s">
        <v>123</v>
      </c>
      <c r="R18" s="132" t="s">
        <v>123</v>
      </c>
      <c r="S18" s="136"/>
      <c r="T18" s="136"/>
      <c r="U18" s="136"/>
      <c r="V18" s="132" t="s">
        <v>123</v>
      </c>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136"/>
      <c r="AZ18" s="136"/>
      <c r="BA18" s="136"/>
      <c r="BB18" s="136"/>
      <c r="BC18" s="136"/>
      <c r="BD18" s="1"/>
      <c r="BE18" s="1"/>
      <c r="BF18" s="1"/>
      <c r="BG18" s="1"/>
      <c r="BH18" s="1"/>
      <c r="BI18" s="1"/>
      <c r="BJ18" s="1"/>
      <c r="BK18" s="137"/>
      <c r="BL18" s="137"/>
      <c r="BM18" s="137"/>
      <c r="BN18" s="137"/>
      <c r="BO18" s="137"/>
      <c r="BP18" s="137"/>
      <c r="BQ18" s="137"/>
      <c r="BR18" s="137"/>
      <c r="BS18" s="137"/>
      <c r="BT18" s="137"/>
      <c r="BU18" s="137"/>
      <c r="BV18" s="137"/>
      <c r="BW18" s="137"/>
      <c r="BX18" s="137"/>
      <c r="BY18" s="137"/>
      <c r="BZ18" s="137"/>
      <c r="CA18" s="137"/>
      <c r="CB18" s="137"/>
      <c r="CC18" s="137"/>
      <c r="CD18" s="137"/>
      <c r="CE18" s="137"/>
      <c r="CF18" s="137"/>
      <c r="CG18" s="137"/>
      <c r="CH18" s="137"/>
      <c r="CI18" s="137"/>
      <c r="CJ18" s="138"/>
    </row>
    <row r="19" ht="15.75" customHeight="1">
      <c r="A19" s="1"/>
      <c r="B19" s="1"/>
      <c r="C19" s="1"/>
      <c r="D19" s="1"/>
      <c r="E19" s="1"/>
      <c r="F19" s="1"/>
      <c r="G19" s="1"/>
      <c r="H19" s="1"/>
      <c r="I19" s="113" t="s">
        <v>50</v>
      </c>
      <c r="J19" s="14"/>
      <c r="K19" s="37" t="s">
        <v>26</v>
      </c>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row>
    <row r="20" ht="15.75" customHeight="1">
      <c r="A20" s="1"/>
      <c r="B20" s="1"/>
      <c r="C20" s="1"/>
      <c r="D20" s="1"/>
      <c r="E20" s="1"/>
      <c r="F20" s="1"/>
      <c r="G20" s="1"/>
      <c r="H20" s="1"/>
      <c r="I20" s="114" t="s">
        <v>51</v>
      </c>
      <c r="J20" s="115"/>
      <c r="K20" s="38" t="s">
        <v>29</v>
      </c>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row>
    <row r="21" ht="15.75" customHeight="1">
      <c r="A21" s="1"/>
      <c r="B21" s="1"/>
      <c r="C21" s="1"/>
      <c r="D21" s="1"/>
      <c r="E21" s="1"/>
      <c r="F21" s="1"/>
      <c r="G21" s="1"/>
      <c r="H21" s="1"/>
      <c r="I21" s="117" t="s">
        <v>52</v>
      </c>
      <c r="J21" s="115"/>
      <c r="K21" s="39" t="s">
        <v>31</v>
      </c>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row>
    <row r="22" ht="15.75" customHeight="1">
      <c r="A22" s="1"/>
      <c r="B22" s="1"/>
      <c r="C22" s="1"/>
      <c r="D22" s="1"/>
      <c r="E22" s="1"/>
      <c r="F22" s="1"/>
      <c r="G22" s="1"/>
      <c r="H22" s="1"/>
      <c r="I22" s="118" t="s">
        <v>39</v>
      </c>
      <c r="J22" s="115"/>
      <c r="K22" s="40" t="s">
        <v>32</v>
      </c>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row>
    <row r="23" ht="15.75" customHeight="1">
      <c r="A23" s="1"/>
      <c r="B23" s="1"/>
      <c r="C23" s="1"/>
      <c r="D23" s="1"/>
      <c r="E23" s="1"/>
      <c r="F23" s="1"/>
      <c r="G23" s="1"/>
      <c r="H23" s="1"/>
      <c r="I23" s="139"/>
      <c r="J23" s="14"/>
      <c r="K23" s="140"/>
      <c r="L23" s="14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row>
    <row r="24" ht="15.75" customHeight="1">
      <c r="A24" s="1"/>
      <c r="B24" s="1"/>
      <c r="C24" s="1"/>
      <c r="D24" s="1"/>
      <c r="E24" s="1"/>
      <c r="F24" s="1"/>
      <c r="G24" s="1"/>
      <c r="H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row>
    <row r="25" ht="15.75" customHeight="1">
      <c r="A25" s="1"/>
      <c r="B25" s="1"/>
      <c r="C25" s="1"/>
      <c r="D25" s="1"/>
      <c r="E25" s="1"/>
      <c r="F25" s="1"/>
      <c r="G25" s="1"/>
      <c r="H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row>
    <row r="26" ht="15.75" customHeight="1">
      <c r="A26" s="1"/>
      <c r="B26" s="1"/>
      <c r="C26" s="1"/>
      <c r="D26" s="1"/>
      <c r="E26" s="1"/>
      <c r="F26" s="1"/>
      <c r="G26" s="1"/>
      <c r="H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row>
    <row r="27" ht="15.75" customHeight="1">
      <c r="A27" s="1"/>
      <c r="B27" s="1"/>
      <c r="C27" s="1"/>
      <c r="D27" s="1"/>
      <c r="E27" s="1"/>
      <c r="F27" s="1"/>
      <c r="G27" s="1"/>
      <c r="H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row>
  </sheetData>
  <mergeCells count="13">
    <mergeCell ref="J14:J17"/>
    <mergeCell ref="I19:J19"/>
    <mergeCell ref="I20:J20"/>
    <mergeCell ref="I21:J21"/>
    <mergeCell ref="I22:J22"/>
    <mergeCell ref="I23:J23"/>
    <mergeCell ref="B2:H2"/>
    <mergeCell ref="B4:B5"/>
    <mergeCell ref="C4:C5"/>
    <mergeCell ref="D4:G4"/>
    <mergeCell ref="H4:H5"/>
    <mergeCell ref="J4:J5"/>
    <mergeCell ref="K4:BH4"/>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outlinePr summaryBelow="0" summaryRight="0"/>
    <pageSetUpPr/>
  </sheetPr>
  <sheetViews>
    <sheetView workbookViewId="0"/>
  </sheetViews>
  <sheetFormatPr customHeight="1" defaultColWidth="12.63" defaultRowHeight="15.0"/>
  <cols>
    <col customWidth="1" min="1" max="1" width="3.75"/>
    <col customWidth="1" min="2" max="2" width="138.25"/>
    <col customWidth="1" min="3" max="3" width="7.63"/>
    <col customWidth="1" min="4" max="4" width="26.13"/>
  </cols>
  <sheetData>
    <row r="1" ht="15.75" customHeight="1">
      <c r="A1" s="1"/>
      <c r="B1" s="1"/>
      <c r="C1" s="1"/>
      <c r="D1" s="1"/>
      <c r="E1" s="1"/>
      <c r="F1" s="1"/>
      <c r="G1" s="1"/>
      <c r="H1" s="1"/>
      <c r="I1" s="1"/>
      <c r="J1" s="1"/>
      <c r="K1" s="1"/>
      <c r="L1" s="1"/>
      <c r="M1" s="1"/>
      <c r="N1" s="1"/>
      <c r="O1" s="1"/>
      <c r="P1" s="1"/>
      <c r="Q1" s="1"/>
      <c r="R1" s="1"/>
      <c r="S1" s="1"/>
      <c r="T1" s="1"/>
      <c r="U1" s="1"/>
      <c r="V1" s="1"/>
      <c r="W1" s="1"/>
    </row>
    <row r="2" ht="15.75" customHeight="1">
      <c r="A2" s="1"/>
      <c r="B2" s="142" t="s">
        <v>133</v>
      </c>
      <c r="C2" s="1"/>
      <c r="D2" s="1"/>
      <c r="E2" s="1"/>
      <c r="F2" s="1"/>
      <c r="G2" s="1"/>
      <c r="H2" s="1"/>
      <c r="I2" s="1"/>
      <c r="J2" s="1"/>
      <c r="K2" s="1"/>
      <c r="L2" s="1"/>
      <c r="M2" s="1"/>
      <c r="N2" s="1"/>
      <c r="O2" s="1"/>
      <c r="P2" s="1"/>
      <c r="Q2" s="1"/>
      <c r="R2" s="1"/>
      <c r="S2" s="1"/>
      <c r="T2" s="1"/>
      <c r="U2" s="1"/>
      <c r="V2" s="1"/>
      <c r="W2" s="1"/>
    </row>
    <row r="3" ht="15.75" customHeight="1">
      <c r="A3" s="1"/>
      <c r="B3" s="1"/>
      <c r="C3" s="1"/>
      <c r="D3" s="1"/>
      <c r="E3" s="1"/>
      <c r="F3" s="1"/>
      <c r="G3" s="1"/>
      <c r="H3" s="1"/>
      <c r="I3" s="1"/>
      <c r="J3" s="1"/>
      <c r="K3" s="1"/>
      <c r="L3" s="1"/>
      <c r="M3" s="1"/>
      <c r="N3" s="1"/>
      <c r="O3" s="1"/>
      <c r="P3" s="1"/>
      <c r="Q3" s="1"/>
      <c r="R3" s="1"/>
      <c r="S3" s="1"/>
      <c r="T3" s="1"/>
      <c r="U3" s="1"/>
      <c r="V3" s="1"/>
      <c r="W3" s="1"/>
    </row>
    <row r="4" ht="287.25" customHeight="1">
      <c r="A4" s="1"/>
      <c r="B4" s="24" t="s">
        <v>134</v>
      </c>
      <c r="C4" s="1"/>
      <c r="D4" s="1"/>
      <c r="E4" s="1"/>
      <c r="F4" s="1"/>
      <c r="G4" s="1"/>
      <c r="H4" s="1"/>
      <c r="I4" s="1"/>
      <c r="J4" s="1"/>
      <c r="K4" s="1"/>
      <c r="L4" s="1"/>
      <c r="M4" s="1"/>
      <c r="N4" s="1"/>
      <c r="O4" s="1"/>
      <c r="P4" s="1"/>
      <c r="Q4" s="1"/>
      <c r="R4" s="1"/>
      <c r="S4" s="1"/>
      <c r="T4" s="1"/>
      <c r="U4" s="1"/>
      <c r="V4" s="1"/>
      <c r="W4" s="1"/>
    </row>
    <row r="5" ht="15.75" customHeight="1">
      <c r="A5" s="1"/>
      <c r="B5" s="1"/>
      <c r="C5" s="1"/>
      <c r="D5" s="1"/>
      <c r="E5" s="1"/>
      <c r="F5" s="1"/>
      <c r="G5" s="1"/>
      <c r="H5" s="1"/>
      <c r="I5" s="1"/>
      <c r="J5" s="1"/>
      <c r="K5" s="1"/>
      <c r="L5" s="1"/>
      <c r="M5" s="1"/>
      <c r="N5" s="1"/>
      <c r="O5" s="1"/>
      <c r="P5" s="1"/>
      <c r="Q5" s="1"/>
      <c r="R5" s="1"/>
      <c r="S5" s="1"/>
      <c r="T5" s="1"/>
      <c r="U5" s="1"/>
      <c r="V5" s="1"/>
      <c r="W5" s="1"/>
    </row>
    <row r="6" ht="15.75" customHeight="1">
      <c r="A6" s="1"/>
      <c r="B6" s="1"/>
      <c r="C6" s="1"/>
      <c r="D6" s="1"/>
      <c r="E6" s="1"/>
      <c r="F6" s="1"/>
      <c r="G6" s="1"/>
      <c r="H6" s="1"/>
      <c r="I6" s="1"/>
      <c r="J6" s="1"/>
      <c r="K6" s="1"/>
      <c r="L6" s="1"/>
      <c r="M6" s="1"/>
      <c r="N6" s="1"/>
      <c r="O6" s="1"/>
      <c r="P6" s="1"/>
      <c r="Q6" s="1"/>
      <c r="R6" s="1"/>
      <c r="S6" s="1"/>
      <c r="T6" s="1"/>
      <c r="U6" s="1"/>
      <c r="V6" s="1"/>
      <c r="W6" s="1"/>
    </row>
    <row r="7" ht="15.75" customHeight="1">
      <c r="A7" s="1"/>
      <c r="B7" s="1"/>
      <c r="C7" s="1"/>
      <c r="D7" s="1"/>
      <c r="E7" s="1"/>
      <c r="F7" s="1"/>
      <c r="G7" s="1"/>
      <c r="H7" s="1"/>
      <c r="I7" s="1"/>
      <c r="J7" s="1"/>
      <c r="K7" s="1"/>
      <c r="L7" s="1"/>
      <c r="M7" s="1"/>
      <c r="N7" s="1"/>
      <c r="O7" s="1"/>
      <c r="P7" s="1"/>
      <c r="Q7" s="1"/>
      <c r="R7" s="1"/>
      <c r="S7" s="1"/>
      <c r="T7" s="1"/>
      <c r="U7" s="1"/>
      <c r="V7" s="1"/>
      <c r="W7" s="1"/>
    </row>
    <row r="8" ht="15.75" customHeight="1">
      <c r="A8" s="1"/>
      <c r="B8" s="1"/>
      <c r="C8" s="1"/>
      <c r="D8" s="1"/>
      <c r="E8" s="1"/>
      <c r="F8" s="1"/>
      <c r="G8" s="1"/>
      <c r="H8" s="1"/>
      <c r="I8" s="1"/>
      <c r="J8" s="1"/>
      <c r="K8" s="1"/>
      <c r="L8" s="1"/>
      <c r="M8" s="1"/>
      <c r="N8" s="1"/>
      <c r="O8" s="1"/>
      <c r="P8" s="1"/>
      <c r="Q8" s="1"/>
      <c r="R8" s="1"/>
      <c r="S8" s="1"/>
      <c r="T8" s="1"/>
      <c r="U8" s="1"/>
      <c r="V8" s="1"/>
      <c r="W8" s="1"/>
    </row>
    <row r="9" ht="15.75" customHeight="1">
      <c r="A9" s="1"/>
      <c r="B9" s="1"/>
      <c r="C9" s="1"/>
      <c r="D9" s="1"/>
      <c r="E9" s="1"/>
      <c r="F9" s="1"/>
      <c r="G9" s="1"/>
      <c r="H9" s="1"/>
      <c r="I9" s="1"/>
      <c r="J9" s="1"/>
      <c r="K9" s="1"/>
      <c r="L9" s="1"/>
      <c r="M9" s="1"/>
      <c r="N9" s="1"/>
      <c r="O9" s="1"/>
      <c r="P9" s="1"/>
      <c r="Q9" s="1"/>
      <c r="R9" s="1"/>
      <c r="S9" s="1"/>
      <c r="T9" s="1"/>
      <c r="U9" s="1"/>
      <c r="V9" s="1"/>
      <c r="W9" s="1"/>
    </row>
    <row r="10" ht="15.75" customHeight="1">
      <c r="A10" s="1"/>
      <c r="B10" s="1"/>
      <c r="C10" s="1"/>
      <c r="D10" s="1"/>
      <c r="E10" s="1"/>
      <c r="F10" s="1"/>
      <c r="G10" s="1"/>
      <c r="H10" s="1"/>
      <c r="I10" s="1"/>
      <c r="J10" s="1"/>
      <c r="K10" s="1"/>
      <c r="L10" s="1"/>
      <c r="M10" s="1"/>
      <c r="N10" s="1"/>
      <c r="O10" s="1"/>
      <c r="P10" s="1"/>
      <c r="Q10" s="1"/>
      <c r="R10" s="1"/>
      <c r="S10" s="1"/>
      <c r="T10" s="1"/>
      <c r="U10" s="1"/>
      <c r="V10" s="1"/>
      <c r="W10" s="1"/>
    </row>
    <row r="11" ht="15.75" customHeight="1">
      <c r="A11" s="1"/>
      <c r="B11" s="1"/>
      <c r="C11" s="1"/>
      <c r="D11" s="1"/>
      <c r="E11" s="1"/>
      <c r="F11" s="1"/>
      <c r="G11" s="1"/>
      <c r="H11" s="1"/>
      <c r="I11" s="1"/>
      <c r="J11" s="1"/>
      <c r="K11" s="1"/>
      <c r="L11" s="1"/>
      <c r="M11" s="1"/>
      <c r="N11" s="1"/>
      <c r="O11" s="1"/>
      <c r="P11" s="1"/>
      <c r="Q11" s="1"/>
      <c r="R11" s="1"/>
      <c r="S11" s="1"/>
      <c r="T11" s="1"/>
      <c r="U11" s="1"/>
      <c r="V11" s="1"/>
      <c r="W11" s="1"/>
    </row>
    <row r="12" ht="15.75" customHeight="1">
      <c r="A12" s="1"/>
      <c r="B12" s="1"/>
      <c r="C12" s="1"/>
      <c r="D12" s="1"/>
      <c r="E12" s="1"/>
      <c r="F12" s="1"/>
      <c r="G12" s="1"/>
      <c r="H12" s="1"/>
      <c r="I12" s="1"/>
      <c r="J12" s="1"/>
      <c r="K12" s="1"/>
      <c r="L12" s="1"/>
      <c r="M12" s="1"/>
      <c r="N12" s="1"/>
      <c r="O12" s="1"/>
      <c r="P12" s="1"/>
      <c r="Q12" s="1"/>
      <c r="R12" s="1"/>
      <c r="S12" s="1"/>
      <c r="T12" s="1"/>
      <c r="U12" s="1"/>
      <c r="V12" s="1"/>
      <c r="W12" s="1"/>
    </row>
    <row r="13" ht="15.75" customHeight="1">
      <c r="A13" s="1"/>
      <c r="B13" s="1"/>
      <c r="C13" s="1"/>
      <c r="D13" s="1"/>
      <c r="E13" s="1"/>
      <c r="F13" s="1"/>
      <c r="G13" s="1"/>
      <c r="H13" s="1"/>
      <c r="I13" s="1"/>
      <c r="J13" s="1"/>
      <c r="K13" s="1"/>
      <c r="L13" s="1"/>
      <c r="M13" s="1"/>
      <c r="N13" s="1"/>
      <c r="O13" s="1"/>
      <c r="P13" s="1"/>
      <c r="Q13" s="1"/>
      <c r="R13" s="1"/>
      <c r="S13" s="1"/>
      <c r="T13" s="1"/>
      <c r="U13" s="1"/>
      <c r="V13" s="1"/>
      <c r="W13" s="1"/>
    </row>
    <row r="14" ht="15.75" customHeight="1">
      <c r="A14" s="1"/>
      <c r="B14" s="1"/>
      <c r="C14" s="1"/>
      <c r="D14" s="1"/>
      <c r="E14" s="1"/>
      <c r="F14" s="1"/>
      <c r="G14" s="1"/>
      <c r="H14" s="1"/>
      <c r="I14" s="1"/>
      <c r="J14" s="1"/>
      <c r="K14" s="1"/>
      <c r="L14" s="1"/>
      <c r="M14" s="1"/>
      <c r="N14" s="1"/>
      <c r="O14" s="1"/>
      <c r="P14" s="1"/>
      <c r="Q14" s="1"/>
      <c r="R14" s="1"/>
      <c r="S14" s="1"/>
      <c r="T14" s="1"/>
      <c r="U14" s="1"/>
      <c r="V14" s="1"/>
      <c r="W14" s="1"/>
    </row>
    <row r="15" ht="15.75" customHeight="1">
      <c r="A15" s="1"/>
      <c r="B15" s="1"/>
      <c r="C15" s="1"/>
      <c r="D15" s="1"/>
      <c r="E15" s="1"/>
      <c r="F15" s="1"/>
      <c r="G15" s="1"/>
      <c r="H15" s="1"/>
      <c r="I15" s="1"/>
      <c r="J15" s="1"/>
      <c r="K15" s="1"/>
      <c r="L15" s="1"/>
      <c r="M15" s="1"/>
      <c r="N15" s="1"/>
      <c r="O15" s="1"/>
      <c r="P15" s="1"/>
      <c r="Q15" s="1"/>
      <c r="R15" s="1"/>
      <c r="S15" s="1"/>
      <c r="T15" s="1"/>
      <c r="U15" s="1"/>
      <c r="V15" s="1"/>
      <c r="W15" s="1"/>
    </row>
    <row r="16" ht="15.75" customHeight="1">
      <c r="A16" s="1"/>
      <c r="B16" s="1"/>
      <c r="C16" s="1"/>
      <c r="D16" s="1"/>
      <c r="E16" s="1"/>
      <c r="F16" s="1"/>
      <c r="G16" s="1"/>
      <c r="H16" s="1"/>
      <c r="I16" s="1"/>
      <c r="J16" s="1"/>
      <c r="K16" s="1"/>
      <c r="L16" s="1"/>
      <c r="M16" s="1"/>
      <c r="N16" s="1"/>
      <c r="O16" s="1"/>
      <c r="P16" s="1"/>
      <c r="Q16" s="1"/>
      <c r="R16" s="1"/>
      <c r="S16" s="1"/>
      <c r="T16" s="1"/>
      <c r="U16" s="1"/>
      <c r="V16" s="1"/>
      <c r="W16" s="1"/>
    </row>
    <row r="17" ht="15.75" customHeight="1">
      <c r="A17" s="1"/>
      <c r="B17" s="1"/>
      <c r="C17" s="1"/>
      <c r="D17" s="1"/>
      <c r="E17" s="1"/>
      <c r="F17" s="1"/>
      <c r="G17" s="1"/>
      <c r="H17" s="1"/>
      <c r="I17" s="1"/>
      <c r="J17" s="1"/>
      <c r="K17" s="1"/>
      <c r="L17" s="1"/>
      <c r="M17" s="1"/>
      <c r="N17" s="1"/>
      <c r="O17" s="1"/>
      <c r="P17" s="1"/>
      <c r="Q17" s="1"/>
      <c r="R17" s="1"/>
      <c r="S17" s="1"/>
      <c r="T17" s="1"/>
      <c r="U17" s="1"/>
      <c r="V17" s="1"/>
      <c r="W17" s="1"/>
    </row>
    <row r="18" ht="15.75" customHeight="1">
      <c r="A18" s="1"/>
      <c r="B18" s="1"/>
      <c r="C18" s="1"/>
      <c r="D18" s="1"/>
      <c r="E18" s="1"/>
      <c r="F18" s="1"/>
      <c r="G18" s="1"/>
      <c r="H18" s="1"/>
      <c r="I18" s="1"/>
      <c r="J18" s="1"/>
      <c r="K18" s="1"/>
      <c r="L18" s="1"/>
      <c r="M18" s="1"/>
      <c r="N18" s="1"/>
      <c r="O18" s="1"/>
      <c r="P18" s="1"/>
      <c r="Q18" s="1"/>
      <c r="R18" s="1"/>
      <c r="S18" s="1"/>
      <c r="T18" s="1"/>
      <c r="U18" s="1"/>
      <c r="V18" s="1"/>
      <c r="W18" s="1"/>
    </row>
    <row r="19" ht="15.75" customHeight="1">
      <c r="A19" s="1"/>
      <c r="B19" s="1"/>
      <c r="C19" s="1"/>
      <c r="D19" s="1"/>
      <c r="E19" s="1"/>
      <c r="F19" s="1"/>
      <c r="G19" s="1"/>
      <c r="H19" s="1"/>
      <c r="I19" s="1"/>
      <c r="J19" s="1"/>
      <c r="K19" s="1"/>
      <c r="L19" s="1"/>
      <c r="M19" s="1"/>
      <c r="N19" s="1"/>
      <c r="O19" s="1"/>
      <c r="P19" s="1"/>
      <c r="Q19" s="1"/>
      <c r="R19" s="1"/>
      <c r="S19" s="1"/>
      <c r="T19" s="1"/>
      <c r="U19" s="1"/>
      <c r="V19" s="1"/>
      <c r="W19" s="1"/>
    </row>
    <row r="20" ht="15.75" customHeight="1">
      <c r="A20" s="1"/>
      <c r="B20" s="1"/>
      <c r="C20" s="1"/>
      <c r="D20" s="1"/>
      <c r="E20" s="1"/>
      <c r="F20" s="1"/>
      <c r="G20" s="1"/>
      <c r="H20" s="1"/>
      <c r="I20" s="1"/>
      <c r="J20" s="1"/>
      <c r="K20" s="1"/>
      <c r="L20" s="1"/>
      <c r="M20" s="1"/>
      <c r="N20" s="1"/>
      <c r="O20" s="1"/>
      <c r="P20" s="1"/>
      <c r="Q20" s="1"/>
      <c r="R20" s="1"/>
      <c r="S20" s="1"/>
      <c r="T20" s="1"/>
      <c r="U20" s="1"/>
      <c r="V20" s="1"/>
      <c r="W20" s="1"/>
    </row>
    <row r="21" ht="15.75" customHeight="1">
      <c r="A21" s="1"/>
      <c r="B21" s="1"/>
      <c r="C21" s="1"/>
      <c r="D21" s="1"/>
      <c r="E21" s="1"/>
      <c r="F21" s="1"/>
      <c r="G21" s="1"/>
      <c r="H21" s="1"/>
      <c r="I21" s="1"/>
      <c r="J21" s="1"/>
      <c r="K21" s="1"/>
      <c r="L21" s="1"/>
      <c r="M21" s="1"/>
      <c r="N21" s="1"/>
      <c r="O21" s="1"/>
      <c r="P21" s="1"/>
      <c r="Q21" s="1"/>
      <c r="R21" s="1"/>
      <c r="S21" s="1"/>
      <c r="T21" s="1"/>
      <c r="U21" s="1"/>
      <c r="V21" s="1"/>
      <c r="W21" s="1"/>
    </row>
    <row r="22" ht="15.75" customHeight="1">
      <c r="A22" s="1"/>
      <c r="B22" s="1"/>
      <c r="C22" s="1"/>
      <c r="D22" s="1"/>
      <c r="E22" s="1"/>
      <c r="F22" s="1"/>
      <c r="G22" s="1"/>
      <c r="H22" s="1"/>
      <c r="I22" s="1"/>
      <c r="J22" s="1"/>
      <c r="K22" s="1"/>
      <c r="L22" s="1"/>
      <c r="M22" s="1"/>
      <c r="N22" s="1"/>
      <c r="O22" s="1"/>
      <c r="P22" s="1"/>
      <c r="Q22" s="1"/>
      <c r="R22" s="1"/>
      <c r="S22" s="1"/>
      <c r="T22" s="1"/>
      <c r="U22" s="1"/>
      <c r="V22" s="1"/>
      <c r="W22" s="1"/>
    </row>
    <row r="23" ht="15.75" customHeight="1">
      <c r="A23" s="1"/>
      <c r="B23" s="1"/>
      <c r="C23" s="1"/>
      <c r="D23" s="1"/>
      <c r="E23" s="1"/>
      <c r="F23" s="1"/>
      <c r="G23" s="1"/>
      <c r="H23" s="1"/>
      <c r="I23" s="1"/>
      <c r="J23" s="1"/>
      <c r="K23" s="1"/>
      <c r="L23" s="1"/>
      <c r="M23" s="1"/>
      <c r="N23" s="1"/>
      <c r="O23" s="1"/>
      <c r="P23" s="1"/>
      <c r="Q23" s="1"/>
      <c r="R23" s="1"/>
      <c r="S23" s="1"/>
      <c r="T23" s="1"/>
      <c r="U23" s="1"/>
      <c r="V23" s="1"/>
      <c r="W23" s="1"/>
    </row>
    <row r="24" ht="15.75" customHeight="1">
      <c r="A24" s="1"/>
      <c r="B24" s="1"/>
      <c r="C24" s="1"/>
      <c r="D24" s="1"/>
      <c r="E24" s="1"/>
      <c r="F24" s="1"/>
      <c r="G24" s="1"/>
      <c r="H24" s="1"/>
      <c r="I24" s="1"/>
      <c r="J24" s="1"/>
      <c r="K24" s="1"/>
      <c r="L24" s="1"/>
      <c r="M24" s="1"/>
      <c r="N24" s="1"/>
      <c r="O24" s="1"/>
      <c r="P24" s="1"/>
      <c r="Q24" s="1"/>
      <c r="R24" s="1"/>
      <c r="S24" s="1"/>
      <c r="T24" s="1"/>
      <c r="U24" s="1"/>
      <c r="V24" s="1"/>
      <c r="W24" s="1"/>
    </row>
    <row r="25" ht="15.75" customHeight="1">
      <c r="A25" s="1"/>
      <c r="B25" s="1"/>
      <c r="C25" s="1"/>
      <c r="D25" s="1"/>
      <c r="E25" s="1"/>
      <c r="F25" s="1"/>
      <c r="G25" s="1"/>
      <c r="H25" s="1"/>
      <c r="I25" s="1"/>
      <c r="J25" s="1"/>
      <c r="K25" s="1"/>
      <c r="L25" s="1"/>
      <c r="M25" s="1"/>
      <c r="N25" s="1"/>
      <c r="O25" s="1"/>
      <c r="P25" s="1"/>
      <c r="Q25" s="1"/>
      <c r="R25" s="1"/>
      <c r="S25" s="1"/>
      <c r="T25" s="1"/>
      <c r="U25" s="1"/>
      <c r="V25" s="1"/>
      <c r="W25" s="1"/>
    </row>
    <row r="26" ht="15.75" customHeight="1">
      <c r="A26" s="1"/>
      <c r="B26" s="1"/>
      <c r="C26" s="1"/>
      <c r="D26" s="1"/>
      <c r="E26" s="1"/>
      <c r="F26" s="1"/>
      <c r="G26" s="1"/>
      <c r="H26" s="1"/>
      <c r="I26" s="1"/>
      <c r="J26" s="1"/>
      <c r="K26" s="1"/>
      <c r="L26" s="1"/>
      <c r="M26" s="1"/>
      <c r="N26" s="1"/>
      <c r="O26" s="1"/>
      <c r="P26" s="1"/>
      <c r="Q26" s="1"/>
      <c r="R26" s="1"/>
      <c r="S26" s="1"/>
      <c r="T26" s="1"/>
      <c r="U26" s="1"/>
      <c r="V26" s="1"/>
      <c r="W26" s="1"/>
    </row>
    <row r="27" ht="15.75" customHeight="1">
      <c r="A27" s="1"/>
      <c r="B27" s="1"/>
      <c r="C27" s="1"/>
      <c r="D27" s="1"/>
      <c r="E27" s="1"/>
      <c r="F27" s="1"/>
      <c r="G27" s="1"/>
      <c r="H27" s="1"/>
      <c r="I27" s="1"/>
      <c r="J27" s="1"/>
      <c r="K27" s="1"/>
      <c r="L27" s="1"/>
      <c r="M27" s="1"/>
      <c r="N27" s="1"/>
      <c r="O27" s="1"/>
      <c r="P27" s="1"/>
      <c r="Q27" s="1"/>
      <c r="R27" s="1"/>
      <c r="S27" s="1"/>
      <c r="T27" s="1"/>
      <c r="U27" s="1"/>
      <c r="V27" s="1"/>
      <c r="W27" s="1"/>
    </row>
    <row r="28" ht="15.75" customHeight="1">
      <c r="A28" s="1"/>
      <c r="B28" s="1"/>
      <c r="C28" s="1"/>
      <c r="D28" s="1"/>
      <c r="E28" s="1"/>
      <c r="F28" s="1"/>
      <c r="G28" s="1"/>
      <c r="H28" s="1"/>
      <c r="I28" s="1"/>
      <c r="J28" s="1"/>
      <c r="K28" s="1"/>
      <c r="L28" s="1"/>
      <c r="M28" s="1"/>
      <c r="N28" s="1"/>
      <c r="O28" s="1"/>
      <c r="P28" s="1"/>
      <c r="Q28" s="1"/>
      <c r="R28" s="1"/>
      <c r="S28" s="1"/>
      <c r="T28" s="1"/>
      <c r="U28" s="1"/>
      <c r="V28" s="1"/>
      <c r="W28" s="1"/>
    </row>
    <row r="29" ht="15.75" customHeight="1">
      <c r="A29" s="1"/>
      <c r="B29" s="1"/>
      <c r="C29" s="1"/>
      <c r="D29" s="1"/>
      <c r="E29" s="1"/>
      <c r="F29" s="1"/>
      <c r="G29" s="1"/>
      <c r="H29" s="1"/>
      <c r="I29" s="1"/>
      <c r="J29" s="1"/>
      <c r="K29" s="1"/>
      <c r="L29" s="1"/>
      <c r="M29" s="1"/>
      <c r="N29" s="1"/>
      <c r="O29" s="1"/>
      <c r="P29" s="1"/>
      <c r="Q29" s="1"/>
      <c r="R29" s="1"/>
      <c r="S29" s="1"/>
      <c r="T29" s="1"/>
      <c r="U29" s="1"/>
      <c r="V29" s="1"/>
      <c r="W29" s="1"/>
    </row>
    <row r="30" ht="15.75" customHeight="1">
      <c r="A30" s="1"/>
      <c r="B30" s="1"/>
      <c r="C30" s="1"/>
      <c r="D30" s="1"/>
      <c r="E30" s="1"/>
      <c r="F30" s="1"/>
      <c r="G30" s="1"/>
      <c r="H30" s="1"/>
      <c r="I30" s="1"/>
      <c r="J30" s="1"/>
      <c r="K30" s="1"/>
      <c r="L30" s="1"/>
      <c r="M30" s="1"/>
      <c r="N30" s="1"/>
      <c r="O30" s="1"/>
      <c r="P30" s="1"/>
      <c r="Q30" s="1"/>
      <c r="R30" s="1"/>
      <c r="S30" s="1"/>
      <c r="T30" s="1"/>
      <c r="U30" s="1"/>
      <c r="V30" s="1"/>
      <c r="W30" s="1"/>
    </row>
    <row r="31" ht="15.75" customHeight="1">
      <c r="A31" s="1"/>
      <c r="B31" s="1"/>
      <c r="C31" s="1"/>
      <c r="D31" s="1"/>
      <c r="E31" s="1"/>
      <c r="F31" s="1"/>
      <c r="G31" s="1"/>
      <c r="H31" s="1"/>
      <c r="I31" s="1"/>
      <c r="J31" s="1"/>
      <c r="K31" s="1"/>
      <c r="L31" s="1"/>
      <c r="M31" s="1"/>
      <c r="N31" s="1"/>
      <c r="O31" s="1"/>
      <c r="P31" s="1"/>
      <c r="Q31" s="1"/>
      <c r="R31" s="1"/>
      <c r="S31" s="1"/>
      <c r="T31" s="1"/>
      <c r="U31" s="1"/>
      <c r="V31" s="1"/>
      <c r="W31" s="1"/>
    </row>
    <row r="32" ht="15.75" customHeight="1">
      <c r="A32" s="1"/>
      <c r="B32" s="1"/>
      <c r="C32" s="1"/>
      <c r="D32" s="1"/>
      <c r="E32" s="1"/>
      <c r="F32" s="1"/>
      <c r="G32" s="1"/>
      <c r="H32" s="1"/>
      <c r="I32" s="1"/>
      <c r="J32" s="1"/>
      <c r="K32" s="1"/>
      <c r="L32" s="1"/>
      <c r="M32" s="1"/>
      <c r="N32" s="1"/>
      <c r="O32" s="1"/>
      <c r="P32" s="1"/>
      <c r="Q32" s="1"/>
      <c r="R32" s="1"/>
      <c r="S32" s="1"/>
      <c r="T32" s="1"/>
      <c r="U32" s="1"/>
      <c r="V32" s="1"/>
      <c r="W32" s="1"/>
    </row>
    <row r="33" ht="15.75" customHeight="1">
      <c r="A33" s="1"/>
      <c r="B33" s="1"/>
      <c r="C33" s="1"/>
      <c r="D33" s="1"/>
      <c r="E33" s="1"/>
      <c r="F33" s="1"/>
      <c r="G33" s="1"/>
      <c r="H33" s="1"/>
      <c r="I33" s="1"/>
      <c r="J33" s="1"/>
      <c r="K33" s="1"/>
      <c r="L33" s="1"/>
      <c r="M33" s="1"/>
      <c r="N33" s="1"/>
      <c r="O33" s="1"/>
      <c r="P33" s="1"/>
      <c r="Q33" s="1"/>
      <c r="R33" s="1"/>
      <c r="S33" s="1"/>
      <c r="T33" s="1"/>
      <c r="U33" s="1"/>
      <c r="V33" s="1"/>
      <c r="W33" s="1"/>
    </row>
    <row r="34" ht="15.75" customHeight="1">
      <c r="A34" s="1"/>
      <c r="B34" s="1"/>
      <c r="C34" s="1"/>
      <c r="D34" s="1"/>
      <c r="E34" s="1"/>
      <c r="F34" s="1"/>
      <c r="G34" s="1"/>
      <c r="H34" s="1"/>
      <c r="I34" s="1"/>
      <c r="J34" s="1"/>
      <c r="K34" s="1"/>
      <c r="L34" s="1"/>
      <c r="M34" s="1"/>
      <c r="N34" s="1"/>
      <c r="O34" s="1"/>
      <c r="P34" s="1"/>
      <c r="Q34" s="1"/>
      <c r="R34" s="1"/>
      <c r="S34" s="1"/>
      <c r="T34" s="1"/>
      <c r="U34" s="1"/>
      <c r="V34" s="1"/>
      <c r="W34" s="1"/>
    </row>
    <row r="35" ht="15.75" customHeight="1">
      <c r="A35" s="1"/>
      <c r="B35" s="1"/>
      <c r="C35" s="1"/>
      <c r="D35" s="1"/>
      <c r="E35" s="1"/>
      <c r="F35" s="1"/>
      <c r="G35" s="1"/>
      <c r="H35" s="1"/>
      <c r="I35" s="1"/>
      <c r="J35" s="1"/>
      <c r="K35" s="1"/>
      <c r="L35" s="1"/>
      <c r="M35" s="1"/>
      <c r="N35" s="1"/>
      <c r="O35" s="1"/>
      <c r="P35" s="1"/>
      <c r="Q35" s="1"/>
      <c r="R35" s="1"/>
      <c r="S35" s="1"/>
      <c r="T35" s="1"/>
      <c r="U35" s="1"/>
      <c r="V35" s="1"/>
      <c r="W35" s="1"/>
    </row>
    <row r="36" ht="15.75" customHeight="1">
      <c r="A36" s="1"/>
      <c r="B36" s="1"/>
      <c r="C36" s="1"/>
      <c r="D36" s="1"/>
      <c r="E36" s="1"/>
      <c r="F36" s="1"/>
      <c r="G36" s="1"/>
      <c r="H36" s="1"/>
      <c r="I36" s="1"/>
      <c r="J36" s="1"/>
      <c r="K36" s="1"/>
      <c r="L36" s="1"/>
      <c r="M36" s="1"/>
      <c r="N36" s="1"/>
      <c r="O36" s="1"/>
      <c r="P36" s="1"/>
      <c r="Q36" s="1"/>
      <c r="R36" s="1"/>
      <c r="S36" s="1"/>
      <c r="T36" s="1"/>
      <c r="U36" s="1"/>
      <c r="V36" s="1"/>
      <c r="W36" s="1"/>
    </row>
    <row r="37" ht="15.75" customHeight="1">
      <c r="A37" s="1"/>
      <c r="B37" s="1"/>
      <c r="C37" s="1"/>
      <c r="D37" s="1"/>
      <c r="E37" s="1"/>
      <c r="F37" s="1"/>
      <c r="G37" s="1"/>
      <c r="H37" s="1"/>
      <c r="I37" s="1"/>
      <c r="J37" s="1"/>
      <c r="K37" s="1"/>
      <c r="L37" s="1"/>
      <c r="M37" s="1"/>
      <c r="N37" s="1"/>
      <c r="O37" s="1"/>
      <c r="P37" s="1"/>
      <c r="Q37" s="1"/>
      <c r="R37" s="1"/>
      <c r="S37" s="1"/>
      <c r="T37" s="1"/>
      <c r="U37" s="1"/>
      <c r="V37" s="1"/>
      <c r="W37" s="1"/>
    </row>
    <row r="38" ht="15.75" customHeight="1">
      <c r="A38" s="1"/>
      <c r="B38" s="1"/>
      <c r="C38" s="1"/>
      <c r="D38" s="1"/>
      <c r="E38" s="1"/>
      <c r="F38" s="1"/>
      <c r="G38" s="1"/>
      <c r="H38" s="1"/>
      <c r="I38" s="1"/>
      <c r="J38" s="1"/>
      <c r="K38" s="1"/>
      <c r="L38" s="1"/>
      <c r="M38" s="1"/>
      <c r="N38" s="1"/>
      <c r="O38" s="1"/>
      <c r="P38" s="1"/>
      <c r="Q38" s="1"/>
      <c r="R38" s="1"/>
      <c r="S38" s="1"/>
      <c r="T38" s="1"/>
      <c r="U38" s="1"/>
      <c r="V38" s="1"/>
      <c r="W38" s="1"/>
    </row>
    <row r="39" ht="15.75" customHeight="1">
      <c r="A39" s="1"/>
      <c r="B39" s="1"/>
      <c r="C39" s="1"/>
      <c r="D39" s="1"/>
      <c r="E39" s="1"/>
      <c r="F39" s="1"/>
      <c r="G39" s="1"/>
      <c r="H39" s="1"/>
      <c r="I39" s="1"/>
      <c r="J39" s="1"/>
      <c r="K39" s="1"/>
      <c r="L39" s="1"/>
      <c r="M39" s="1"/>
      <c r="N39" s="1"/>
      <c r="O39" s="1"/>
      <c r="P39" s="1"/>
      <c r="Q39" s="1"/>
      <c r="R39" s="1"/>
      <c r="S39" s="1"/>
      <c r="T39" s="1"/>
      <c r="U39" s="1"/>
      <c r="V39" s="1"/>
      <c r="W39" s="1"/>
    </row>
    <row r="40" ht="15.75" customHeight="1">
      <c r="A40" s="1"/>
      <c r="B40" s="1"/>
      <c r="C40" s="1"/>
      <c r="D40" s="1"/>
      <c r="E40" s="1"/>
      <c r="F40" s="1"/>
      <c r="G40" s="1"/>
      <c r="H40" s="1"/>
      <c r="I40" s="1"/>
      <c r="J40" s="1"/>
      <c r="K40" s="1"/>
      <c r="L40" s="1"/>
      <c r="M40" s="1"/>
      <c r="N40" s="1"/>
      <c r="O40" s="1"/>
      <c r="P40" s="1"/>
      <c r="Q40" s="1"/>
      <c r="R40" s="1"/>
      <c r="S40" s="1"/>
      <c r="T40" s="1"/>
      <c r="U40" s="1"/>
      <c r="V40" s="1"/>
      <c r="W40" s="1"/>
    </row>
    <row r="41" ht="15.75" customHeight="1">
      <c r="A41" s="1"/>
      <c r="B41" s="1"/>
      <c r="C41" s="1"/>
      <c r="D41" s="1"/>
      <c r="E41" s="1"/>
      <c r="F41" s="1"/>
      <c r="G41" s="1"/>
      <c r="H41" s="1"/>
      <c r="I41" s="1"/>
      <c r="J41" s="1"/>
      <c r="K41" s="1"/>
      <c r="L41" s="1"/>
      <c r="M41" s="1"/>
      <c r="N41" s="1"/>
      <c r="O41" s="1"/>
      <c r="P41" s="1"/>
      <c r="Q41" s="1"/>
      <c r="R41" s="1"/>
      <c r="S41" s="1"/>
      <c r="T41" s="1"/>
      <c r="U41" s="1"/>
      <c r="V41" s="1"/>
      <c r="W41" s="1"/>
    </row>
    <row r="42" ht="15.75" customHeight="1">
      <c r="A42" s="1"/>
      <c r="B42" s="1"/>
      <c r="C42" s="1"/>
      <c r="D42" s="1"/>
      <c r="E42" s="1"/>
      <c r="F42" s="1"/>
      <c r="G42" s="1"/>
      <c r="H42" s="1"/>
      <c r="I42" s="1"/>
      <c r="J42" s="1"/>
      <c r="K42" s="1"/>
      <c r="L42" s="1"/>
      <c r="M42" s="1"/>
      <c r="N42" s="1"/>
      <c r="O42" s="1"/>
      <c r="P42" s="1"/>
      <c r="Q42" s="1"/>
      <c r="R42" s="1"/>
      <c r="S42" s="1"/>
      <c r="T42" s="1"/>
      <c r="U42" s="1"/>
      <c r="V42" s="1"/>
      <c r="W42" s="1"/>
    </row>
    <row r="43" ht="15.75" customHeight="1">
      <c r="A43" s="1"/>
      <c r="B43" s="1"/>
      <c r="C43" s="1"/>
      <c r="D43" s="1"/>
      <c r="E43" s="1"/>
      <c r="F43" s="1"/>
      <c r="G43" s="1"/>
      <c r="H43" s="1"/>
      <c r="I43" s="1"/>
      <c r="J43" s="1"/>
      <c r="K43" s="1"/>
      <c r="L43" s="1"/>
      <c r="M43" s="1"/>
      <c r="N43" s="1"/>
      <c r="O43" s="1"/>
      <c r="P43" s="1"/>
      <c r="Q43" s="1"/>
      <c r="R43" s="1"/>
      <c r="S43" s="1"/>
      <c r="T43" s="1"/>
      <c r="U43" s="1"/>
      <c r="V43" s="1"/>
      <c r="W43" s="1"/>
    </row>
    <row r="44" ht="15.75" customHeight="1">
      <c r="A44" s="1"/>
      <c r="B44" s="1"/>
      <c r="C44" s="1"/>
      <c r="D44" s="1"/>
      <c r="E44" s="1"/>
      <c r="F44" s="1"/>
      <c r="G44" s="1"/>
      <c r="H44" s="1"/>
      <c r="I44" s="1"/>
      <c r="J44" s="1"/>
      <c r="K44" s="1"/>
      <c r="L44" s="1"/>
      <c r="M44" s="1"/>
      <c r="N44" s="1"/>
      <c r="O44" s="1"/>
      <c r="P44" s="1"/>
      <c r="Q44" s="1"/>
      <c r="R44" s="1"/>
      <c r="S44" s="1"/>
      <c r="T44" s="1"/>
      <c r="U44" s="1"/>
      <c r="V44" s="1"/>
      <c r="W44" s="1"/>
    </row>
    <row r="45" ht="15.75" customHeight="1">
      <c r="A45" s="1"/>
      <c r="B45" s="1"/>
      <c r="C45" s="1"/>
      <c r="D45" s="1"/>
      <c r="E45" s="1"/>
      <c r="F45" s="1"/>
      <c r="G45" s="1"/>
      <c r="H45" s="1"/>
      <c r="I45" s="1"/>
      <c r="J45" s="1"/>
      <c r="K45" s="1"/>
      <c r="L45" s="1"/>
      <c r="M45" s="1"/>
      <c r="N45" s="1"/>
      <c r="O45" s="1"/>
      <c r="P45" s="1"/>
      <c r="Q45" s="1"/>
      <c r="R45" s="1"/>
      <c r="S45" s="1"/>
      <c r="T45" s="1"/>
      <c r="U45" s="1"/>
      <c r="V45" s="1"/>
      <c r="W45" s="1"/>
    </row>
    <row r="46" ht="15.75" customHeight="1">
      <c r="A46" s="1"/>
      <c r="B46" s="1"/>
      <c r="C46" s="1"/>
      <c r="D46" s="1"/>
      <c r="E46" s="1"/>
      <c r="F46" s="1"/>
      <c r="G46" s="1"/>
      <c r="H46" s="1"/>
      <c r="I46" s="1"/>
      <c r="J46" s="1"/>
      <c r="K46" s="1"/>
      <c r="L46" s="1"/>
      <c r="M46" s="1"/>
      <c r="N46" s="1"/>
      <c r="O46" s="1"/>
      <c r="P46" s="1"/>
      <c r="Q46" s="1"/>
      <c r="R46" s="1"/>
      <c r="S46" s="1"/>
      <c r="T46" s="1"/>
      <c r="U46" s="1"/>
      <c r="V46" s="1"/>
      <c r="W46" s="1"/>
    </row>
    <row r="47" ht="15.75" customHeight="1">
      <c r="A47" s="1"/>
      <c r="B47" s="1"/>
      <c r="C47" s="1"/>
      <c r="D47" s="1"/>
      <c r="E47" s="1"/>
      <c r="F47" s="1"/>
      <c r="G47" s="1"/>
      <c r="H47" s="1"/>
      <c r="I47" s="1"/>
      <c r="J47" s="1"/>
      <c r="K47" s="1"/>
      <c r="L47" s="1"/>
      <c r="M47" s="1"/>
      <c r="N47" s="1"/>
      <c r="O47" s="1"/>
      <c r="P47" s="1"/>
      <c r="Q47" s="1"/>
      <c r="R47" s="1"/>
      <c r="S47" s="1"/>
      <c r="T47" s="1"/>
      <c r="U47" s="1"/>
      <c r="V47" s="1"/>
      <c r="W47" s="1"/>
    </row>
    <row r="48" ht="15.75" customHeight="1">
      <c r="A48" s="1"/>
      <c r="B48" s="1"/>
      <c r="C48" s="1"/>
      <c r="D48" s="1"/>
      <c r="E48" s="1"/>
      <c r="F48" s="1"/>
      <c r="G48" s="1"/>
      <c r="H48" s="1"/>
      <c r="I48" s="1"/>
      <c r="J48" s="1"/>
      <c r="K48" s="1"/>
      <c r="L48" s="1"/>
      <c r="M48" s="1"/>
      <c r="N48" s="1"/>
      <c r="O48" s="1"/>
      <c r="P48" s="1"/>
      <c r="Q48" s="1"/>
      <c r="R48" s="1"/>
      <c r="S48" s="1"/>
      <c r="T48" s="1"/>
      <c r="U48" s="1"/>
      <c r="V48" s="1"/>
      <c r="W48" s="1"/>
    </row>
    <row r="49" ht="15.75" customHeight="1">
      <c r="A49" s="1"/>
      <c r="B49" s="1"/>
      <c r="C49" s="1"/>
      <c r="D49" s="1"/>
      <c r="E49" s="1"/>
      <c r="F49" s="1"/>
      <c r="G49" s="1"/>
      <c r="H49" s="1"/>
      <c r="I49" s="1"/>
      <c r="J49" s="1"/>
      <c r="K49" s="1"/>
      <c r="L49" s="1"/>
      <c r="M49" s="1"/>
      <c r="N49" s="1"/>
      <c r="O49" s="1"/>
      <c r="P49" s="1"/>
      <c r="Q49" s="1"/>
      <c r="R49" s="1"/>
      <c r="S49" s="1"/>
      <c r="T49" s="1"/>
      <c r="U49" s="1"/>
      <c r="V49" s="1"/>
      <c r="W49" s="1"/>
    </row>
    <row r="50" ht="15.75" customHeight="1">
      <c r="A50" s="1"/>
      <c r="B50" s="1"/>
      <c r="C50" s="1"/>
      <c r="D50" s="1"/>
      <c r="E50" s="1"/>
      <c r="F50" s="1"/>
      <c r="G50" s="1"/>
      <c r="H50" s="1"/>
      <c r="I50" s="1"/>
      <c r="J50" s="1"/>
      <c r="K50" s="1"/>
      <c r="L50" s="1"/>
      <c r="M50" s="1"/>
      <c r="N50" s="1"/>
      <c r="O50" s="1"/>
      <c r="P50" s="1"/>
      <c r="Q50" s="1"/>
      <c r="R50" s="1"/>
      <c r="S50" s="1"/>
      <c r="T50" s="1"/>
      <c r="U50" s="1"/>
      <c r="V50" s="1"/>
      <c r="W50" s="1"/>
    </row>
    <row r="51" ht="15.75" customHeight="1">
      <c r="A51" s="1"/>
      <c r="B51" s="1"/>
      <c r="C51" s="1"/>
      <c r="D51" s="1"/>
      <c r="E51" s="1"/>
      <c r="F51" s="1"/>
      <c r="G51" s="1"/>
      <c r="H51" s="1"/>
      <c r="I51" s="1"/>
      <c r="J51" s="1"/>
      <c r="K51" s="1"/>
      <c r="L51" s="1"/>
      <c r="M51" s="1"/>
      <c r="N51" s="1"/>
      <c r="O51" s="1"/>
      <c r="P51" s="1"/>
      <c r="Q51" s="1"/>
      <c r="R51" s="1"/>
      <c r="S51" s="1"/>
      <c r="T51" s="1"/>
      <c r="U51" s="1"/>
      <c r="V51" s="1"/>
      <c r="W51" s="1"/>
    </row>
    <row r="52" ht="15.75" customHeight="1">
      <c r="A52" s="1"/>
      <c r="B52" s="1"/>
      <c r="C52" s="1"/>
      <c r="D52" s="1"/>
      <c r="E52" s="1"/>
      <c r="F52" s="1"/>
      <c r="G52" s="1"/>
      <c r="H52" s="1"/>
      <c r="I52" s="1"/>
      <c r="J52" s="1"/>
      <c r="K52" s="1"/>
      <c r="L52" s="1"/>
      <c r="M52" s="1"/>
      <c r="N52" s="1"/>
      <c r="O52" s="1"/>
      <c r="P52" s="1"/>
      <c r="Q52" s="1"/>
      <c r="R52" s="1"/>
      <c r="S52" s="1"/>
      <c r="T52" s="1"/>
      <c r="U52" s="1"/>
      <c r="V52" s="1"/>
      <c r="W52" s="1"/>
    </row>
    <row r="53" ht="15.75" customHeight="1">
      <c r="A53" s="1"/>
      <c r="B53" s="1"/>
      <c r="C53" s="1"/>
      <c r="D53" s="1"/>
      <c r="E53" s="1"/>
      <c r="F53" s="1"/>
      <c r="G53" s="1"/>
      <c r="H53" s="1"/>
      <c r="I53" s="1"/>
      <c r="J53" s="1"/>
      <c r="K53" s="1"/>
      <c r="L53" s="1"/>
      <c r="M53" s="1"/>
      <c r="N53" s="1"/>
      <c r="O53" s="1"/>
      <c r="P53" s="1"/>
      <c r="Q53" s="1"/>
      <c r="R53" s="1"/>
      <c r="S53" s="1"/>
      <c r="T53" s="1"/>
      <c r="U53" s="1"/>
      <c r="V53" s="1"/>
      <c r="W53" s="1"/>
    </row>
    <row r="54" ht="15.75" customHeight="1">
      <c r="A54" s="1"/>
      <c r="B54" s="1"/>
      <c r="C54" s="1"/>
      <c r="D54" s="1"/>
      <c r="E54" s="1"/>
      <c r="F54" s="1"/>
      <c r="G54" s="1"/>
      <c r="H54" s="1"/>
      <c r="I54" s="1"/>
      <c r="J54" s="1"/>
      <c r="K54" s="1"/>
      <c r="L54" s="1"/>
      <c r="M54" s="1"/>
      <c r="N54" s="1"/>
      <c r="O54" s="1"/>
      <c r="P54" s="1"/>
      <c r="Q54" s="1"/>
      <c r="R54" s="1"/>
      <c r="S54" s="1"/>
      <c r="T54" s="1"/>
      <c r="U54" s="1"/>
      <c r="V54" s="1"/>
      <c r="W54" s="1"/>
    </row>
    <row r="55" ht="15.75" customHeight="1">
      <c r="A55" s="1"/>
      <c r="B55" s="1"/>
      <c r="C55" s="1"/>
      <c r="D55" s="1"/>
      <c r="E55" s="1"/>
      <c r="F55" s="1"/>
      <c r="G55" s="1"/>
      <c r="H55" s="1"/>
      <c r="I55" s="1"/>
      <c r="J55" s="1"/>
      <c r="K55" s="1"/>
      <c r="L55" s="1"/>
      <c r="M55" s="1"/>
      <c r="N55" s="1"/>
      <c r="O55" s="1"/>
      <c r="P55" s="1"/>
      <c r="Q55" s="1"/>
      <c r="R55" s="1"/>
      <c r="S55" s="1"/>
      <c r="T55" s="1"/>
      <c r="U55" s="1"/>
      <c r="V55" s="1"/>
      <c r="W55" s="1"/>
    </row>
    <row r="56" ht="15.75" customHeight="1">
      <c r="A56" s="1"/>
      <c r="B56" s="1"/>
      <c r="C56" s="1"/>
      <c r="D56" s="1"/>
      <c r="E56" s="1"/>
      <c r="F56" s="1"/>
      <c r="G56" s="1"/>
      <c r="H56" s="1"/>
      <c r="I56" s="1"/>
      <c r="J56" s="1"/>
      <c r="K56" s="1"/>
      <c r="L56" s="1"/>
      <c r="M56" s="1"/>
      <c r="N56" s="1"/>
      <c r="O56" s="1"/>
      <c r="P56" s="1"/>
      <c r="Q56" s="1"/>
      <c r="R56" s="1"/>
      <c r="S56" s="1"/>
      <c r="T56" s="1"/>
      <c r="U56" s="1"/>
      <c r="V56" s="1"/>
      <c r="W56" s="1"/>
    </row>
    <row r="57" ht="15.75" customHeight="1">
      <c r="A57" s="1"/>
      <c r="B57" s="1"/>
      <c r="C57" s="1"/>
      <c r="D57" s="1"/>
      <c r="E57" s="1"/>
      <c r="F57" s="1"/>
      <c r="G57" s="1"/>
      <c r="H57" s="1"/>
      <c r="I57" s="1"/>
      <c r="J57" s="1"/>
      <c r="K57" s="1"/>
      <c r="L57" s="1"/>
      <c r="M57" s="1"/>
      <c r="N57" s="1"/>
      <c r="O57" s="1"/>
      <c r="P57" s="1"/>
      <c r="Q57" s="1"/>
      <c r="R57" s="1"/>
      <c r="S57" s="1"/>
      <c r="T57" s="1"/>
      <c r="U57" s="1"/>
      <c r="V57" s="1"/>
      <c r="W57" s="1"/>
    </row>
    <row r="58" ht="15.75" customHeight="1">
      <c r="A58" s="1"/>
      <c r="B58" s="1"/>
      <c r="C58" s="1"/>
      <c r="D58" s="1"/>
      <c r="E58" s="1"/>
      <c r="F58" s="1"/>
      <c r="G58" s="1"/>
      <c r="H58" s="1"/>
      <c r="I58" s="1"/>
      <c r="J58" s="1"/>
      <c r="K58" s="1"/>
      <c r="L58" s="1"/>
      <c r="M58" s="1"/>
      <c r="N58" s="1"/>
      <c r="O58" s="1"/>
      <c r="P58" s="1"/>
      <c r="Q58" s="1"/>
      <c r="R58" s="1"/>
      <c r="S58" s="1"/>
      <c r="T58" s="1"/>
      <c r="U58" s="1"/>
      <c r="V58" s="1"/>
      <c r="W58" s="1"/>
    </row>
    <row r="59" ht="15.75" customHeight="1">
      <c r="A59" s="1"/>
      <c r="B59" s="1"/>
      <c r="C59" s="1"/>
      <c r="D59" s="1"/>
      <c r="E59" s="1"/>
      <c r="F59" s="1"/>
      <c r="G59" s="1"/>
      <c r="H59" s="1"/>
      <c r="I59" s="1"/>
      <c r="J59" s="1"/>
      <c r="K59" s="1"/>
      <c r="L59" s="1"/>
      <c r="M59" s="1"/>
      <c r="N59" s="1"/>
      <c r="O59" s="1"/>
      <c r="P59" s="1"/>
      <c r="Q59" s="1"/>
      <c r="R59" s="1"/>
      <c r="S59" s="1"/>
      <c r="T59" s="1"/>
      <c r="U59" s="1"/>
      <c r="V59" s="1"/>
      <c r="W59" s="1"/>
    </row>
    <row r="60" ht="15.75" customHeight="1">
      <c r="A60" s="1"/>
      <c r="B60" s="1"/>
      <c r="C60" s="1"/>
      <c r="D60" s="1"/>
      <c r="E60" s="1"/>
      <c r="F60" s="1"/>
      <c r="G60" s="1"/>
      <c r="H60" s="1"/>
      <c r="I60" s="1"/>
      <c r="J60" s="1"/>
      <c r="K60" s="1"/>
      <c r="L60" s="1"/>
      <c r="M60" s="1"/>
      <c r="N60" s="1"/>
      <c r="O60" s="1"/>
      <c r="P60" s="1"/>
      <c r="Q60" s="1"/>
      <c r="R60" s="1"/>
      <c r="S60" s="1"/>
      <c r="T60" s="1"/>
      <c r="U60" s="1"/>
      <c r="V60" s="1"/>
      <c r="W60" s="1"/>
    </row>
    <row r="61" ht="15.75" customHeight="1">
      <c r="A61" s="1"/>
      <c r="B61" s="1"/>
      <c r="C61" s="1"/>
      <c r="D61" s="1"/>
      <c r="E61" s="1"/>
      <c r="F61" s="1"/>
      <c r="G61" s="1"/>
      <c r="H61" s="1"/>
      <c r="I61" s="1"/>
      <c r="J61" s="1"/>
      <c r="K61" s="1"/>
      <c r="L61" s="1"/>
      <c r="M61" s="1"/>
      <c r="N61" s="1"/>
      <c r="O61" s="1"/>
      <c r="P61" s="1"/>
      <c r="Q61" s="1"/>
      <c r="R61" s="1"/>
      <c r="S61" s="1"/>
      <c r="T61" s="1"/>
      <c r="U61" s="1"/>
      <c r="V61" s="1"/>
      <c r="W61" s="1"/>
    </row>
    <row r="62" ht="15.75" customHeight="1">
      <c r="A62" s="1"/>
      <c r="B62" s="1"/>
      <c r="C62" s="1"/>
      <c r="D62" s="1"/>
      <c r="E62" s="1"/>
      <c r="F62" s="1"/>
      <c r="G62" s="1"/>
      <c r="H62" s="1"/>
      <c r="I62" s="1"/>
      <c r="J62" s="1"/>
      <c r="K62" s="1"/>
      <c r="L62" s="1"/>
      <c r="M62" s="1"/>
      <c r="N62" s="1"/>
      <c r="O62" s="1"/>
      <c r="P62" s="1"/>
      <c r="Q62" s="1"/>
      <c r="R62" s="1"/>
      <c r="S62" s="1"/>
      <c r="T62" s="1"/>
      <c r="U62" s="1"/>
      <c r="V62" s="1"/>
      <c r="W62" s="1"/>
    </row>
    <row r="63" ht="15.75" customHeight="1">
      <c r="A63" s="1"/>
      <c r="B63" s="1"/>
      <c r="C63" s="1"/>
      <c r="D63" s="1"/>
      <c r="E63" s="1"/>
      <c r="F63" s="1"/>
      <c r="G63" s="1"/>
      <c r="H63" s="1"/>
      <c r="I63" s="1"/>
      <c r="J63" s="1"/>
      <c r="K63" s="1"/>
      <c r="L63" s="1"/>
      <c r="M63" s="1"/>
      <c r="N63" s="1"/>
      <c r="O63" s="1"/>
      <c r="P63" s="1"/>
      <c r="Q63" s="1"/>
      <c r="R63" s="1"/>
      <c r="S63" s="1"/>
      <c r="T63" s="1"/>
      <c r="U63" s="1"/>
      <c r="V63" s="1"/>
      <c r="W63" s="1"/>
    </row>
    <row r="64" ht="15.75" customHeight="1">
      <c r="A64" s="1"/>
      <c r="B64" s="1"/>
      <c r="C64" s="1"/>
      <c r="D64" s="1"/>
      <c r="E64" s="1"/>
      <c r="F64" s="1"/>
      <c r="G64" s="1"/>
      <c r="H64" s="1"/>
      <c r="I64" s="1"/>
      <c r="J64" s="1"/>
      <c r="K64" s="1"/>
      <c r="L64" s="1"/>
      <c r="M64" s="1"/>
      <c r="N64" s="1"/>
      <c r="O64" s="1"/>
      <c r="P64" s="1"/>
      <c r="Q64" s="1"/>
      <c r="R64" s="1"/>
      <c r="S64" s="1"/>
      <c r="T64" s="1"/>
      <c r="U64" s="1"/>
      <c r="V64" s="1"/>
      <c r="W64" s="1"/>
    </row>
    <row r="65" ht="15.75" customHeight="1">
      <c r="A65" s="1"/>
      <c r="B65" s="1"/>
      <c r="C65" s="1"/>
      <c r="D65" s="1"/>
      <c r="E65" s="1"/>
      <c r="F65" s="1"/>
      <c r="G65" s="1"/>
      <c r="H65" s="1"/>
      <c r="I65" s="1"/>
      <c r="J65" s="1"/>
      <c r="K65" s="1"/>
      <c r="L65" s="1"/>
      <c r="M65" s="1"/>
      <c r="N65" s="1"/>
      <c r="O65" s="1"/>
      <c r="P65" s="1"/>
      <c r="Q65" s="1"/>
      <c r="R65" s="1"/>
      <c r="S65" s="1"/>
      <c r="T65" s="1"/>
      <c r="U65" s="1"/>
      <c r="V65" s="1"/>
      <c r="W65" s="1"/>
    </row>
    <row r="66" ht="15.75" customHeight="1">
      <c r="A66" s="1"/>
      <c r="B66" s="1"/>
      <c r="C66" s="1"/>
      <c r="D66" s="1"/>
      <c r="E66" s="1"/>
      <c r="F66" s="1"/>
      <c r="G66" s="1"/>
      <c r="H66" s="1"/>
      <c r="I66" s="1"/>
      <c r="J66" s="1"/>
      <c r="K66" s="1"/>
      <c r="L66" s="1"/>
      <c r="M66" s="1"/>
      <c r="N66" s="1"/>
      <c r="O66" s="1"/>
      <c r="P66" s="1"/>
      <c r="Q66" s="1"/>
      <c r="R66" s="1"/>
      <c r="S66" s="1"/>
      <c r="T66" s="1"/>
      <c r="U66" s="1"/>
      <c r="V66" s="1"/>
      <c r="W66" s="1"/>
    </row>
    <row r="67" ht="15.75" customHeight="1">
      <c r="A67" s="1"/>
      <c r="B67" s="1"/>
      <c r="C67" s="1"/>
      <c r="D67" s="1"/>
      <c r="E67" s="1"/>
      <c r="F67" s="1"/>
      <c r="G67" s="1"/>
      <c r="H67" s="1"/>
      <c r="I67" s="1"/>
      <c r="J67" s="1"/>
      <c r="K67" s="1"/>
      <c r="L67" s="1"/>
      <c r="M67" s="1"/>
      <c r="N67" s="1"/>
      <c r="O67" s="1"/>
      <c r="P67" s="1"/>
      <c r="Q67" s="1"/>
      <c r="R67" s="1"/>
      <c r="S67" s="1"/>
      <c r="T67" s="1"/>
      <c r="U67" s="1"/>
      <c r="V67" s="1"/>
      <c r="W67" s="1"/>
    </row>
    <row r="68" ht="15.75" customHeight="1">
      <c r="A68" s="1"/>
      <c r="B68" s="1"/>
      <c r="C68" s="1"/>
      <c r="D68" s="1"/>
      <c r="E68" s="1"/>
      <c r="F68" s="1"/>
      <c r="G68" s="1"/>
      <c r="H68" s="1"/>
      <c r="I68" s="1"/>
      <c r="J68" s="1"/>
      <c r="K68" s="1"/>
      <c r="L68" s="1"/>
      <c r="M68" s="1"/>
      <c r="N68" s="1"/>
      <c r="O68" s="1"/>
      <c r="P68" s="1"/>
      <c r="Q68" s="1"/>
      <c r="R68" s="1"/>
      <c r="S68" s="1"/>
      <c r="T68" s="1"/>
      <c r="U68" s="1"/>
      <c r="V68" s="1"/>
      <c r="W68" s="1"/>
    </row>
    <row r="69" ht="15.75" customHeight="1">
      <c r="A69" s="1"/>
      <c r="B69" s="1"/>
      <c r="C69" s="1"/>
      <c r="D69" s="1"/>
      <c r="E69" s="1"/>
      <c r="F69" s="1"/>
      <c r="G69" s="1"/>
      <c r="H69" s="1"/>
      <c r="I69" s="1"/>
      <c r="J69" s="1"/>
      <c r="K69" s="1"/>
      <c r="L69" s="1"/>
      <c r="M69" s="1"/>
      <c r="N69" s="1"/>
      <c r="O69" s="1"/>
      <c r="P69" s="1"/>
      <c r="Q69" s="1"/>
      <c r="R69" s="1"/>
      <c r="S69" s="1"/>
      <c r="T69" s="1"/>
      <c r="U69" s="1"/>
      <c r="V69" s="1"/>
      <c r="W69" s="1"/>
    </row>
    <row r="70" ht="15.75" customHeight="1">
      <c r="A70" s="1"/>
      <c r="B70" s="1"/>
      <c r="C70" s="1"/>
      <c r="D70" s="1"/>
      <c r="E70" s="1"/>
      <c r="F70" s="1"/>
      <c r="G70" s="1"/>
      <c r="H70" s="1"/>
      <c r="I70" s="1"/>
      <c r="J70" s="1"/>
      <c r="K70" s="1"/>
      <c r="L70" s="1"/>
      <c r="M70" s="1"/>
      <c r="N70" s="1"/>
      <c r="O70" s="1"/>
      <c r="P70" s="1"/>
      <c r="Q70" s="1"/>
      <c r="R70" s="1"/>
      <c r="S70" s="1"/>
      <c r="T70" s="1"/>
      <c r="U70" s="1"/>
      <c r="V70" s="1"/>
      <c r="W70" s="1"/>
    </row>
    <row r="71" ht="15.75" customHeight="1">
      <c r="A71" s="1"/>
      <c r="B71" s="1"/>
      <c r="C71" s="1"/>
      <c r="D71" s="1"/>
      <c r="E71" s="1"/>
      <c r="F71" s="1"/>
      <c r="G71" s="1"/>
      <c r="H71" s="1"/>
      <c r="I71" s="1"/>
      <c r="J71" s="1"/>
      <c r="K71" s="1"/>
      <c r="L71" s="1"/>
      <c r="M71" s="1"/>
      <c r="N71" s="1"/>
      <c r="O71" s="1"/>
      <c r="P71" s="1"/>
      <c r="Q71" s="1"/>
      <c r="R71" s="1"/>
      <c r="S71" s="1"/>
      <c r="T71" s="1"/>
      <c r="U71" s="1"/>
      <c r="V71" s="1"/>
      <c r="W71" s="1"/>
    </row>
    <row r="72" ht="15.75" customHeight="1">
      <c r="A72" s="1"/>
      <c r="B72" s="1"/>
      <c r="C72" s="1"/>
      <c r="D72" s="1"/>
      <c r="E72" s="1"/>
      <c r="F72" s="1"/>
      <c r="G72" s="1"/>
      <c r="H72" s="1"/>
      <c r="I72" s="1"/>
      <c r="J72" s="1"/>
      <c r="K72" s="1"/>
      <c r="L72" s="1"/>
      <c r="M72" s="1"/>
      <c r="N72" s="1"/>
      <c r="O72" s="1"/>
      <c r="P72" s="1"/>
      <c r="Q72" s="1"/>
      <c r="R72" s="1"/>
      <c r="S72" s="1"/>
      <c r="T72" s="1"/>
      <c r="U72" s="1"/>
      <c r="V72" s="1"/>
      <c r="W72" s="1"/>
    </row>
    <row r="73" ht="15.75" customHeight="1">
      <c r="A73" s="1"/>
      <c r="B73" s="1"/>
      <c r="C73" s="1"/>
      <c r="D73" s="1"/>
      <c r="E73" s="1"/>
      <c r="F73" s="1"/>
      <c r="G73" s="1"/>
      <c r="H73" s="1"/>
      <c r="I73" s="1"/>
      <c r="J73" s="1"/>
      <c r="K73" s="1"/>
      <c r="L73" s="1"/>
      <c r="M73" s="1"/>
      <c r="N73" s="1"/>
      <c r="O73" s="1"/>
      <c r="P73" s="1"/>
      <c r="Q73" s="1"/>
      <c r="R73" s="1"/>
      <c r="S73" s="1"/>
      <c r="T73" s="1"/>
      <c r="U73" s="1"/>
      <c r="V73" s="1"/>
      <c r="W73" s="1"/>
    </row>
    <row r="74" ht="15.75" customHeight="1">
      <c r="A74" s="1"/>
      <c r="B74" s="1"/>
      <c r="C74" s="1"/>
      <c r="D74" s="1"/>
      <c r="E74" s="1"/>
      <c r="F74" s="1"/>
      <c r="G74" s="1"/>
      <c r="H74" s="1"/>
      <c r="I74" s="1"/>
      <c r="J74" s="1"/>
      <c r="K74" s="1"/>
      <c r="L74" s="1"/>
      <c r="M74" s="1"/>
      <c r="N74" s="1"/>
      <c r="O74" s="1"/>
      <c r="P74" s="1"/>
      <c r="Q74" s="1"/>
      <c r="R74" s="1"/>
      <c r="S74" s="1"/>
      <c r="T74" s="1"/>
      <c r="U74" s="1"/>
      <c r="V74" s="1"/>
      <c r="W74" s="1"/>
    </row>
    <row r="75" ht="15.75" customHeight="1">
      <c r="A75" s="1"/>
      <c r="B75" s="1"/>
      <c r="C75" s="1"/>
      <c r="D75" s="1"/>
      <c r="E75" s="1"/>
      <c r="F75" s="1"/>
      <c r="G75" s="1"/>
      <c r="H75" s="1"/>
      <c r="I75" s="1"/>
      <c r="J75" s="1"/>
      <c r="K75" s="1"/>
      <c r="L75" s="1"/>
      <c r="M75" s="1"/>
      <c r="N75" s="1"/>
      <c r="O75" s="1"/>
      <c r="P75" s="1"/>
      <c r="Q75" s="1"/>
      <c r="R75" s="1"/>
      <c r="S75" s="1"/>
      <c r="T75" s="1"/>
      <c r="U75" s="1"/>
      <c r="V75" s="1"/>
      <c r="W75" s="1"/>
    </row>
    <row r="76" ht="15.75" customHeight="1">
      <c r="A76" s="1"/>
      <c r="B76" s="1"/>
      <c r="C76" s="1"/>
      <c r="D76" s="1"/>
      <c r="E76" s="1"/>
      <c r="F76" s="1"/>
      <c r="G76" s="1"/>
      <c r="H76" s="1"/>
      <c r="I76" s="1"/>
      <c r="J76" s="1"/>
      <c r="K76" s="1"/>
      <c r="L76" s="1"/>
      <c r="M76" s="1"/>
      <c r="N76" s="1"/>
      <c r="O76" s="1"/>
      <c r="P76" s="1"/>
      <c r="Q76" s="1"/>
      <c r="R76" s="1"/>
      <c r="S76" s="1"/>
      <c r="T76" s="1"/>
      <c r="U76" s="1"/>
      <c r="V76" s="1"/>
      <c r="W76" s="1"/>
    </row>
    <row r="77" ht="15.75" customHeight="1">
      <c r="A77" s="1"/>
      <c r="B77" s="1"/>
      <c r="C77" s="1"/>
      <c r="D77" s="1"/>
      <c r="E77" s="1"/>
      <c r="F77" s="1"/>
      <c r="G77" s="1"/>
      <c r="H77" s="1"/>
      <c r="I77" s="1"/>
      <c r="J77" s="1"/>
      <c r="K77" s="1"/>
      <c r="L77" s="1"/>
      <c r="M77" s="1"/>
      <c r="N77" s="1"/>
      <c r="O77" s="1"/>
      <c r="P77" s="1"/>
      <c r="Q77" s="1"/>
      <c r="R77" s="1"/>
      <c r="S77" s="1"/>
      <c r="T77" s="1"/>
      <c r="U77" s="1"/>
      <c r="V77" s="1"/>
      <c r="W77" s="1"/>
    </row>
    <row r="78" ht="15.75" customHeight="1">
      <c r="A78" s="1"/>
      <c r="B78" s="1"/>
      <c r="C78" s="1"/>
      <c r="D78" s="1"/>
      <c r="E78" s="1"/>
      <c r="F78" s="1"/>
      <c r="G78" s="1"/>
      <c r="H78" s="1"/>
      <c r="I78" s="1"/>
      <c r="J78" s="1"/>
      <c r="K78" s="1"/>
      <c r="L78" s="1"/>
      <c r="M78" s="1"/>
      <c r="N78" s="1"/>
      <c r="O78" s="1"/>
      <c r="P78" s="1"/>
      <c r="Q78" s="1"/>
      <c r="R78" s="1"/>
      <c r="S78" s="1"/>
      <c r="T78" s="1"/>
      <c r="U78" s="1"/>
      <c r="V78" s="1"/>
      <c r="W78" s="1"/>
    </row>
    <row r="79" ht="15.75" customHeight="1">
      <c r="A79" s="1"/>
      <c r="B79" s="1"/>
      <c r="C79" s="1"/>
      <c r="D79" s="1"/>
      <c r="E79" s="1"/>
      <c r="F79" s="1"/>
      <c r="G79" s="1"/>
      <c r="H79" s="1"/>
      <c r="I79" s="1"/>
      <c r="J79" s="1"/>
      <c r="K79" s="1"/>
      <c r="L79" s="1"/>
      <c r="M79" s="1"/>
      <c r="N79" s="1"/>
      <c r="O79" s="1"/>
      <c r="P79" s="1"/>
      <c r="Q79" s="1"/>
      <c r="R79" s="1"/>
      <c r="S79" s="1"/>
      <c r="T79" s="1"/>
      <c r="U79" s="1"/>
      <c r="V79" s="1"/>
      <c r="W79" s="1"/>
    </row>
    <row r="80" ht="15.75" customHeight="1">
      <c r="A80" s="1"/>
      <c r="B80" s="1"/>
      <c r="C80" s="1"/>
      <c r="D80" s="1"/>
      <c r="E80" s="1"/>
      <c r="F80" s="1"/>
      <c r="G80" s="1"/>
      <c r="H80" s="1"/>
      <c r="I80" s="1"/>
      <c r="J80" s="1"/>
      <c r="K80" s="1"/>
      <c r="L80" s="1"/>
      <c r="M80" s="1"/>
      <c r="N80" s="1"/>
      <c r="O80" s="1"/>
      <c r="P80" s="1"/>
      <c r="Q80" s="1"/>
      <c r="R80" s="1"/>
      <c r="S80" s="1"/>
      <c r="T80" s="1"/>
      <c r="U80" s="1"/>
      <c r="V80" s="1"/>
      <c r="W80" s="1"/>
    </row>
    <row r="81" ht="15.75" customHeight="1">
      <c r="A81" s="1"/>
      <c r="B81" s="1"/>
      <c r="C81" s="1"/>
      <c r="D81" s="1"/>
      <c r="E81" s="1"/>
      <c r="F81" s="1"/>
      <c r="G81" s="1"/>
      <c r="H81" s="1"/>
      <c r="I81" s="1"/>
      <c r="J81" s="1"/>
      <c r="K81" s="1"/>
      <c r="L81" s="1"/>
      <c r="M81" s="1"/>
      <c r="N81" s="1"/>
      <c r="O81" s="1"/>
      <c r="P81" s="1"/>
      <c r="Q81" s="1"/>
      <c r="R81" s="1"/>
      <c r="S81" s="1"/>
      <c r="T81" s="1"/>
      <c r="U81" s="1"/>
      <c r="V81" s="1"/>
      <c r="W81" s="1"/>
    </row>
    <row r="82" ht="15.75" customHeight="1">
      <c r="A82" s="1"/>
      <c r="B82" s="1"/>
      <c r="C82" s="1"/>
      <c r="D82" s="1"/>
      <c r="E82" s="1"/>
      <c r="F82" s="1"/>
      <c r="G82" s="1"/>
      <c r="H82" s="1"/>
      <c r="I82" s="1"/>
      <c r="J82" s="1"/>
      <c r="K82" s="1"/>
      <c r="L82" s="1"/>
      <c r="M82" s="1"/>
      <c r="N82" s="1"/>
      <c r="O82" s="1"/>
      <c r="P82" s="1"/>
      <c r="Q82" s="1"/>
      <c r="R82" s="1"/>
      <c r="S82" s="1"/>
      <c r="T82" s="1"/>
      <c r="U82" s="1"/>
      <c r="V82" s="1"/>
      <c r="W82" s="1"/>
    </row>
    <row r="83" ht="15.75" customHeight="1">
      <c r="A83" s="1"/>
      <c r="B83" s="1"/>
      <c r="C83" s="1"/>
      <c r="D83" s="1"/>
      <c r="E83" s="1"/>
      <c r="F83" s="1"/>
      <c r="G83" s="1"/>
      <c r="H83" s="1"/>
      <c r="I83" s="1"/>
      <c r="J83" s="1"/>
      <c r="K83" s="1"/>
      <c r="L83" s="1"/>
      <c r="M83" s="1"/>
      <c r="N83" s="1"/>
      <c r="O83" s="1"/>
      <c r="P83" s="1"/>
      <c r="Q83" s="1"/>
      <c r="R83" s="1"/>
      <c r="S83" s="1"/>
      <c r="T83" s="1"/>
      <c r="U83" s="1"/>
      <c r="V83" s="1"/>
      <c r="W83" s="1"/>
    </row>
    <row r="84" ht="15.75" customHeight="1">
      <c r="A84" s="1"/>
      <c r="B84" s="1"/>
      <c r="C84" s="1"/>
      <c r="D84" s="1"/>
      <c r="E84" s="1"/>
      <c r="F84" s="1"/>
      <c r="G84" s="1"/>
      <c r="H84" s="1"/>
      <c r="I84" s="1"/>
      <c r="J84" s="1"/>
      <c r="K84" s="1"/>
      <c r="L84" s="1"/>
      <c r="M84" s="1"/>
      <c r="N84" s="1"/>
      <c r="O84" s="1"/>
      <c r="P84" s="1"/>
      <c r="Q84" s="1"/>
      <c r="R84" s="1"/>
      <c r="S84" s="1"/>
      <c r="T84" s="1"/>
      <c r="U84" s="1"/>
      <c r="V84" s="1"/>
      <c r="W84" s="1"/>
    </row>
    <row r="85" ht="15.75" customHeight="1">
      <c r="A85" s="1"/>
      <c r="B85" s="1"/>
      <c r="C85" s="1"/>
      <c r="D85" s="1"/>
      <c r="E85" s="1"/>
      <c r="F85" s="1"/>
      <c r="G85" s="1"/>
      <c r="H85" s="1"/>
      <c r="I85" s="1"/>
      <c r="J85" s="1"/>
      <c r="K85" s="1"/>
      <c r="L85" s="1"/>
      <c r="M85" s="1"/>
      <c r="N85" s="1"/>
      <c r="O85" s="1"/>
      <c r="P85" s="1"/>
      <c r="Q85" s="1"/>
      <c r="R85" s="1"/>
      <c r="S85" s="1"/>
      <c r="T85" s="1"/>
      <c r="U85" s="1"/>
      <c r="V85" s="1"/>
      <c r="W85" s="1"/>
    </row>
    <row r="86" ht="15.75" customHeight="1">
      <c r="A86" s="1"/>
      <c r="B86" s="1"/>
      <c r="C86" s="1"/>
      <c r="D86" s="1"/>
      <c r="E86" s="1"/>
      <c r="F86" s="1"/>
      <c r="G86" s="1"/>
      <c r="H86" s="1"/>
      <c r="I86" s="1"/>
      <c r="J86" s="1"/>
      <c r="K86" s="1"/>
      <c r="L86" s="1"/>
      <c r="M86" s="1"/>
      <c r="N86" s="1"/>
      <c r="O86" s="1"/>
      <c r="P86" s="1"/>
      <c r="Q86" s="1"/>
      <c r="R86" s="1"/>
      <c r="S86" s="1"/>
      <c r="T86" s="1"/>
      <c r="U86" s="1"/>
      <c r="V86" s="1"/>
      <c r="W86" s="1"/>
    </row>
    <row r="87" ht="15.75" customHeight="1">
      <c r="A87" s="1"/>
      <c r="B87" s="1"/>
      <c r="C87" s="1"/>
      <c r="D87" s="1"/>
      <c r="E87" s="1"/>
      <c r="F87" s="1"/>
      <c r="G87" s="1"/>
      <c r="H87" s="1"/>
      <c r="I87" s="1"/>
      <c r="J87" s="1"/>
      <c r="K87" s="1"/>
      <c r="L87" s="1"/>
      <c r="M87" s="1"/>
      <c r="N87" s="1"/>
      <c r="O87" s="1"/>
      <c r="P87" s="1"/>
      <c r="Q87" s="1"/>
      <c r="R87" s="1"/>
      <c r="S87" s="1"/>
      <c r="T87" s="1"/>
      <c r="U87" s="1"/>
      <c r="V87" s="1"/>
      <c r="W87" s="1"/>
    </row>
    <row r="88" ht="15.75" customHeight="1">
      <c r="A88" s="1"/>
      <c r="B88" s="1"/>
      <c r="C88" s="1"/>
      <c r="D88" s="1"/>
      <c r="E88" s="1"/>
      <c r="F88" s="1"/>
      <c r="G88" s="1"/>
      <c r="H88" s="1"/>
      <c r="I88" s="1"/>
      <c r="J88" s="1"/>
      <c r="K88" s="1"/>
      <c r="L88" s="1"/>
      <c r="M88" s="1"/>
      <c r="N88" s="1"/>
      <c r="O88" s="1"/>
      <c r="P88" s="1"/>
      <c r="Q88" s="1"/>
      <c r="R88" s="1"/>
      <c r="S88" s="1"/>
      <c r="T88" s="1"/>
      <c r="U88" s="1"/>
      <c r="V88" s="1"/>
      <c r="W88" s="1"/>
    </row>
    <row r="89" ht="15.75" customHeight="1">
      <c r="A89" s="1"/>
      <c r="B89" s="1"/>
      <c r="C89" s="1"/>
      <c r="D89" s="1"/>
      <c r="E89" s="1"/>
      <c r="F89" s="1"/>
      <c r="G89" s="1"/>
      <c r="H89" s="1"/>
      <c r="I89" s="1"/>
      <c r="J89" s="1"/>
      <c r="K89" s="1"/>
      <c r="L89" s="1"/>
      <c r="M89" s="1"/>
      <c r="N89" s="1"/>
      <c r="O89" s="1"/>
      <c r="P89" s="1"/>
      <c r="Q89" s="1"/>
      <c r="R89" s="1"/>
      <c r="S89" s="1"/>
      <c r="T89" s="1"/>
      <c r="U89" s="1"/>
      <c r="V89" s="1"/>
      <c r="W89" s="1"/>
    </row>
    <row r="90" ht="15.75" customHeight="1">
      <c r="A90" s="1"/>
      <c r="B90" s="1"/>
      <c r="C90" s="1"/>
      <c r="D90" s="1"/>
      <c r="E90" s="1"/>
      <c r="F90" s="1"/>
      <c r="G90" s="1"/>
      <c r="H90" s="1"/>
      <c r="I90" s="1"/>
      <c r="J90" s="1"/>
      <c r="K90" s="1"/>
      <c r="L90" s="1"/>
      <c r="M90" s="1"/>
      <c r="N90" s="1"/>
      <c r="O90" s="1"/>
      <c r="P90" s="1"/>
      <c r="Q90" s="1"/>
      <c r="R90" s="1"/>
      <c r="S90" s="1"/>
      <c r="T90" s="1"/>
      <c r="U90" s="1"/>
      <c r="V90" s="1"/>
      <c r="W90" s="1"/>
    </row>
    <row r="91" ht="15.75" customHeight="1">
      <c r="A91" s="1"/>
      <c r="B91" s="1"/>
      <c r="C91" s="1"/>
      <c r="D91" s="1"/>
      <c r="E91" s="1"/>
      <c r="F91" s="1"/>
      <c r="G91" s="1"/>
      <c r="H91" s="1"/>
      <c r="I91" s="1"/>
      <c r="J91" s="1"/>
      <c r="K91" s="1"/>
      <c r="L91" s="1"/>
      <c r="M91" s="1"/>
      <c r="N91" s="1"/>
      <c r="O91" s="1"/>
      <c r="P91" s="1"/>
      <c r="Q91" s="1"/>
      <c r="R91" s="1"/>
      <c r="S91" s="1"/>
      <c r="T91" s="1"/>
      <c r="U91" s="1"/>
      <c r="V91" s="1"/>
      <c r="W91" s="1"/>
    </row>
    <row r="92" ht="15.75" customHeight="1">
      <c r="A92" s="1"/>
      <c r="B92" s="1"/>
      <c r="C92" s="1"/>
      <c r="D92" s="1"/>
      <c r="E92" s="1"/>
      <c r="F92" s="1"/>
      <c r="G92" s="1"/>
      <c r="H92" s="1"/>
      <c r="I92" s="1"/>
      <c r="J92" s="1"/>
      <c r="K92" s="1"/>
      <c r="L92" s="1"/>
      <c r="M92" s="1"/>
      <c r="N92" s="1"/>
      <c r="O92" s="1"/>
      <c r="P92" s="1"/>
      <c r="Q92" s="1"/>
      <c r="R92" s="1"/>
      <c r="S92" s="1"/>
      <c r="T92" s="1"/>
      <c r="U92" s="1"/>
      <c r="V92" s="1"/>
      <c r="W92" s="1"/>
    </row>
    <row r="93" ht="15.75" customHeight="1">
      <c r="A93" s="1"/>
      <c r="B93" s="1"/>
      <c r="C93" s="1"/>
      <c r="D93" s="1"/>
      <c r="E93" s="1"/>
      <c r="F93" s="1"/>
      <c r="G93" s="1"/>
      <c r="H93" s="1"/>
      <c r="I93" s="1"/>
      <c r="J93" s="1"/>
      <c r="K93" s="1"/>
      <c r="L93" s="1"/>
      <c r="M93" s="1"/>
      <c r="N93" s="1"/>
      <c r="O93" s="1"/>
      <c r="P93" s="1"/>
      <c r="Q93" s="1"/>
      <c r="R93" s="1"/>
      <c r="S93" s="1"/>
      <c r="T93" s="1"/>
      <c r="U93" s="1"/>
      <c r="V93" s="1"/>
      <c r="W93" s="1"/>
    </row>
    <row r="94" ht="15.75" customHeight="1">
      <c r="A94" s="1"/>
      <c r="B94" s="1"/>
      <c r="C94" s="1"/>
      <c r="D94" s="1"/>
      <c r="E94" s="1"/>
      <c r="F94" s="1"/>
      <c r="G94" s="1"/>
      <c r="H94" s="1"/>
      <c r="I94" s="1"/>
      <c r="J94" s="1"/>
      <c r="K94" s="1"/>
      <c r="L94" s="1"/>
      <c r="M94" s="1"/>
      <c r="N94" s="1"/>
      <c r="O94" s="1"/>
      <c r="P94" s="1"/>
      <c r="Q94" s="1"/>
      <c r="R94" s="1"/>
      <c r="S94" s="1"/>
      <c r="T94" s="1"/>
      <c r="U94" s="1"/>
      <c r="V94" s="1"/>
      <c r="W94" s="1"/>
    </row>
    <row r="95" ht="15.75" customHeight="1">
      <c r="A95" s="1"/>
      <c r="B95" s="1"/>
      <c r="C95" s="1"/>
      <c r="D95" s="1"/>
      <c r="E95" s="1"/>
      <c r="F95" s="1"/>
      <c r="G95" s="1"/>
      <c r="H95" s="1"/>
      <c r="I95" s="1"/>
      <c r="J95" s="1"/>
      <c r="K95" s="1"/>
      <c r="L95" s="1"/>
      <c r="M95" s="1"/>
      <c r="N95" s="1"/>
      <c r="O95" s="1"/>
      <c r="P95" s="1"/>
      <c r="Q95" s="1"/>
      <c r="R95" s="1"/>
      <c r="S95" s="1"/>
      <c r="T95" s="1"/>
      <c r="U95" s="1"/>
      <c r="V95" s="1"/>
      <c r="W95" s="1"/>
    </row>
    <row r="96" ht="15.75" customHeight="1">
      <c r="A96" s="1"/>
      <c r="B96" s="1"/>
      <c r="C96" s="1"/>
      <c r="D96" s="1"/>
      <c r="E96" s="1"/>
      <c r="F96" s="1"/>
      <c r="G96" s="1"/>
      <c r="H96" s="1"/>
      <c r="I96" s="1"/>
      <c r="J96" s="1"/>
      <c r="K96" s="1"/>
      <c r="L96" s="1"/>
      <c r="M96" s="1"/>
      <c r="N96" s="1"/>
      <c r="O96" s="1"/>
      <c r="P96" s="1"/>
      <c r="Q96" s="1"/>
      <c r="R96" s="1"/>
      <c r="S96" s="1"/>
      <c r="T96" s="1"/>
      <c r="U96" s="1"/>
      <c r="V96" s="1"/>
      <c r="W96" s="1"/>
    </row>
    <row r="97" ht="15.75" customHeight="1">
      <c r="A97" s="1"/>
      <c r="B97" s="1"/>
      <c r="C97" s="1"/>
      <c r="D97" s="1"/>
      <c r="E97" s="1"/>
      <c r="F97" s="1"/>
      <c r="G97" s="1"/>
      <c r="H97" s="1"/>
      <c r="I97" s="1"/>
      <c r="J97" s="1"/>
      <c r="K97" s="1"/>
      <c r="L97" s="1"/>
      <c r="M97" s="1"/>
      <c r="N97" s="1"/>
      <c r="O97" s="1"/>
      <c r="P97" s="1"/>
      <c r="Q97" s="1"/>
      <c r="R97" s="1"/>
      <c r="S97" s="1"/>
      <c r="T97" s="1"/>
      <c r="U97" s="1"/>
      <c r="V97" s="1"/>
      <c r="W97" s="1"/>
    </row>
    <row r="98" ht="15.75" customHeight="1">
      <c r="A98" s="1"/>
      <c r="B98" s="1"/>
      <c r="C98" s="1"/>
      <c r="D98" s="1"/>
      <c r="E98" s="1"/>
      <c r="F98" s="1"/>
      <c r="G98" s="1"/>
      <c r="H98" s="1"/>
      <c r="I98" s="1"/>
      <c r="J98" s="1"/>
      <c r="K98" s="1"/>
      <c r="L98" s="1"/>
      <c r="M98" s="1"/>
      <c r="N98" s="1"/>
      <c r="O98" s="1"/>
      <c r="P98" s="1"/>
      <c r="Q98" s="1"/>
      <c r="R98" s="1"/>
      <c r="S98" s="1"/>
      <c r="T98" s="1"/>
      <c r="U98" s="1"/>
      <c r="V98" s="1"/>
      <c r="W98" s="1"/>
    </row>
    <row r="99" ht="15.75" customHeight="1">
      <c r="A99" s="1"/>
      <c r="B99" s="1"/>
      <c r="C99" s="1"/>
      <c r="D99" s="1"/>
      <c r="E99" s="1"/>
      <c r="F99" s="1"/>
      <c r="G99" s="1"/>
      <c r="H99" s="1"/>
      <c r="I99" s="1"/>
      <c r="J99" s="1"/>
      <c r="K99" s="1"/>
      <c r="L99" s="1"/>
      <c r="M99" s="1"/>
      <c r="N99" s="1"/>
      <c r="O99" s="1"/>
      <c r="P99" s="1"/>
      <c r="Q99" s="1"/>
      <c r="R99" s="1"/>
      <c r="S99" s="1"/>
      <c r="T99" s="1"/>
      <c r="U99" s="1"/>
      <c r="V99" s="1"/>
      <c r="W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